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ériodes" sheetId="2" state="visible" r:id="rId4"/>
    <sheet name="Détails" sheetId="3" state="visible" r:id="rId5"/>
    <sheet name="Synthèse" sheetId="4" state="visible" r:id="rId6"/>
    <sheet name="Contrôles" sheetId="5" state="visible" r:id="rId7"/>
  </sheets>
  <definedNames>
    <definedName function="false" hidden="true" localSheetId="2" name="_xlnm._FilterDatabase" vbProcedure="false">Détails!$A$1:$AK$21</definedName>
    <definedName function="false" hidden="true" localSheetId="1" name="_xlnm._FilterDatabase" vbProcedure="false">Périodes!$A$1:$N$241</definedName>
    <definedName function="false" hidden="true" localSheetId="3" name="_xlnm._FilterDatabase" vbProcedure="false">Synthèse!$A$1:$AJ$21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<sst xmlns="http://schemas.openxmlformats.org/spreadsheetml/2006/main" count="776" uniqueCount="188">
  <si>
    <t xml:space="preserve">MODÈLE INDÉPENDANT — NE PAS REMPLACER PAR UN EXPORT DE L'APPLICATION</t>
  </si>
  <si>
    <t xml:space="preserve">Jeu de données</t>
  </si>
  <si>
    <t xml:space="preserve">STAGING-PROVISIONS-2026-R1</t>
  </si>
  <si>
    <t xml:space="preserve">Date de référence</t>
  </si>
  <si>
    <t xml:space="preserve">2026-08-03</t>
  </si>
  <si>
    <t xml:space="preserve">Version des règles</t>
  </si>
  <si>
    <t xml:space="preserve">CI-CCI-1977-PROVISIONS-2026.2</t>
  </si>
  <si>
    <t xml:space="preserve">Période observée</t>
  </si>
  <si>
    <t xml:space="preserve">Janvier à août 2026</t>
  </si>
  <si>
    <t xml:space="preserve">Tolérance de comparaison</t>
  </si>
  <si>
    <t xml:space="preserve">1 FCFA</t>
  </si>
  <si>
    <t xml:space="preserve">Mode d'emploi</t>
  </si>
  <si>
    <t xml:space="preserve">1</t>
  </si>
  <si>
    <t xml:space="preserve">Saisir les paies et leurs composantes dans l'onglet Périodes.</t>
  </si>
  <si>
    <t xml:space="preserve">2</t>
  </si>
  <si>
    <t xml:space="preserve">Indiquer FINALIZED ou DRAFT ; seules les lignes FINALIZED sont éligibles.</t>
  </si>
  <si>
    <t xml:space="preserve">3</t>
  </si>
  <si>
    <t xml:space="preserve">Saisir les données contractuelles et de congés dans Détails.</t>
  </si>
  <si>
    <t xml:space="preserve">4</t>
  </si>
  <si>
    <t xml:space="preserve">Vérifier manuellement toutes les formules avant signature.</t>
  </si>
  <si>
    <t xml:space="preserve">5</t>
  </si>
  <si>
    <t xml:space="preserve">C18 doit être NOT_APPLICABLE ; B01/B02 ne doivent pas entrer dans les totaux du tenant A.</t>
  </si>
  <si>
    <t xml:space="preserve">6</t>
  </si>
  <si>
    <t xml:space="preserve">Enregistrer le classeur final sous reference-provisions-2026.xlsx.</t>
  </si>
  <si>
    <t xml:space="preserve">7</t>
  </si>
  <si>
    <t xml:space="preserve">Signer/parapher puis calculer son SHA-256.</t>
  </si>
  <si>
    <t xml:space="preserve">Convention</t>
  </si>
  <si>
    <t xml:space="preserve">Valeur</t>
  </si>
  <si>
    <t xml:space="preserve">Acquisition congés</t>
  </si>
  <si>
    <t xml:space="preserve">2,2 jours ouvrables par mois de service effectif</t>
  </si>
  <si>
    <t xml:space="preserve">Arrondi des droits</t>
  </si>
  <si>
    <t xml:space="preserve">CEILING à l'entier, puis présentation des jours à 2 décimales</t>
  </si>
  <si>
    <t xml:space="preserve">Diviseur journalier</t>
  </si>
  <si>
    <t xml:space="preserve">26</t>
  </si>
  <si>
    <t xml:space="preserve">Règle du dixième</t>
  </si>
  <si>
    <t xml:space="preserve">10 % de la rémunération de référence, proratisés par solde final / droits acquis</t>
  </si>
  <si>
    <t xml:space="preserve">Salaire de référence</t>
  </si>
  <si>
    <t xml:space="preserve">12 dernières paies finalisées ; moyenne des mois disponibles ; fallback contractuel si aucune</t>
  </si>
  <si>
    <t xml:space="preserve">Licenciement</t>
  </si>
  <si>
    <t xml:space="preserve">Minimum 12 mois ; tranches 0-60 mois à 30 %, 60-120 à 35 %, au-delà à 40 %</t>
  </si>
  <si>
    <t xml:space="preserve">Arrondi monétaire</t>
  </si>
  <si>
    <t xml:space="preserve">ROUND_HALF_UP au FCFA</t>
  </si>
  <si>
    <t xml:space="preserve">ATTESTATION DU RESPONSABLE PAIE</t>
  </si>
  <si>
    <t xml:space="preserve">Nom et prénom</t>
  </si>
  <si>
    <t xml:space="preserve">Kabre Theodore</t>
  </si>
  <si>
    <t xml:space="preserve">Fonction</t>
  </si>
  <si>
    <t xml:space="preserve">Responsable Paie</t>
  </si>
  <si>
    <t xml:space="preserve">Date de préparation</t>
  </si>
  <si>
    <t xml:space="preserve">04/08/2026</t>
  </si>
  <si>
    <t xml:space="preserve">Date d'approbation</t>
  </si>
  <si>
    <t xml:space="preserve">Signature/paraphe</t>
  </si>
  <si>
    <t xml:space="preserve">[SIGNÉ NUMÉRIQUEMENT - KABRE THEODORE]</t>
  </si>
  <si>
    <t xml:space="preserve">Réserves</t>
  </si>
  <si>
    <t xml:space="preserve">Cas</t>
  </si>
  <si>
    <t xml:space="preserve">Tenant</t>
  </si>
  <si>
    <t xml:space="preserve">Année</t>
  </si>
  <si>
    <t xml:space="preserve">Mois</t>
  </si>
  <si>
    <t xml:space="preserve">Statut paie</t>
  </si>
  <si>
    <t xml:space="preserve">Salaire base</t>
  </si>
  <si>
    <t xml:space="preserve">Sursalaire</t>
  </si>
  <si>
    <t xml:space="preserve">Primes éligibles</t>
  </si>
  <si>
    <t xml:space="preserve">Autres éléments éligibles</t>
  </si>
  <si>
    <t xml:space="preserve">Remboursements frais</t>
  </si>
  <si>
    <t xml:space="preserve">Rémunération éligible congés</t>
  </si>
  <si>
    <t xml:space="preserve">Rémunération éligible licenciement</t>
  </si>
  <si>
    <t xml:space="preserve">Source/justificatif</t>
  </si>
  <si>
    <t xml:space="preserve">Commentaire</t>
  </si>
  <si>
    <t xml:space="preserve">C01</t>
  </si>
  <si>
    <t xml:space="preserve">A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</si>
  <si>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</si>
  <si>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</si>
  <si>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</si>
  <si>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</si>
  <si>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</si>
  <si>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</si>
  <si>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</si>
  <si>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</si>
  <si>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</si>
  <si>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</si>
  <si>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</si>
  <si>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</si>
  <si>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</si>
  <si>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</si>
  <si>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</si>
  <si>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</si>
  <si>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</si>
  <si>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B01</t>
  </si>
  <si>
    <t xml:space="preserve">B</t>
  </si>
  <si>
    <t xml:space="preserve">B02</t>
  </si>
  <si>
    <t xml:space="preserve">Scénario</t>
  </si>
  <si>
    <t xml:space="preserve">Matricule validation</t>
  </si>
  <si>
    <t xml:space="preserve">Date embauche</t>
  </si>
  <si>
    <t xml:space="preserve">Date référence</t>
  </si>
  <si>
    <t xml:space="preserve">Ancienneté mois</t>
  </si>
  <si>
    <t xml:space="preserve">Mois service effectif</t>
  </si>
  <si>
    <t xml:space="preserve">Mois paie utilisés</t>
  </si>
  <si>
    <t xml:space="preserve">Salaire contractuel</t>
  </si>
  <si>
    <t xml:space="preserve">Sursalaire contractuel</t>
  </si>
  <si>
    <t xml:space="preserve">Base fallback</t>
  </si>
  <si>
    <t xml:space="preserve">Total rémunération référence</t>
  </si>
  <si>
    <t xml:space="preserve">Salaire mensuel moyen</t>
  </si>
  <si>
    <t xml:space="preserve">Droits base 2,2</t>
  </si>
  <si>
    <t xml:space="preserve">Bonus ancienneté</t>
  </si>
  <si>
    <t xml:space="preserve">Droits acquis arrondis</t>
  </si>
  <si>
    <t xml:space="preserve">Solde ouverture</t>
  </si>
  <si>
    <t xml:space="preserve">Jours reportés</t>
  </si>
  <si>
    <t xml:space="preserve">Congés consommés</t>
  </si>
  <si>
    <t xml:space="preserve">Congés compensés/payés</t>
  </si>
  <si>
    <t xml:space="preserve">Solde final</t>
  </si>
  <si>
    <t xml:space="preserve">Taux journalier</t>
  </si>
  <si>
    <t xml:space="preserve">Maintien salaire</t>
  </si>
  <si>
    <t xml:space="preserve">Règle dixième</t>
  </si>
  <si>
    <t xml:space="preserve">Méthode retenue</t>
  </si>
  <si>
    <t xml:space="preserve">Provision congés</t>
  </si>
  <si>
    <t xml:space="preserve">Mois tranche 1</t>
  </si>
  <si>
    <t xml:space="preserve">Montant tranche 1</t>
  </si>
  <si>
    <t xml:space="preserve">Mois tranche 2</t>
  </si>
  <si>
    <t xml:space="preserve">Montant tranche 2</t>
  </si>
  <si>
    <t xml:space="preserve">Mois tranche 3</t>
  </si>
  <si>
    <t xml:space="preserve">Montant tranche 3</t>
  </si>
  <si>
    <t xml:space="preserve">Exposition licenciement</t>
  </si>
  <si>
    <t xml:space="preserve">Statut attendu</t>
  </si>
  <si>
    <t xml:space="preserve">Warning/réserve</t>
  </si>
  <si>
    <t xml:space="preserve">Source des données</t>
  </si>
  <si>
    <t xml:space="preserve">Ancienneté inférieure à un an</t>
  </si>
  <si>
    <t xml:space="preserve">Tranche 30 %</t>
  </si>
  <si>
    <t xml:space="preserve">Tranches 30 % et 35 %</t>
  </si>
  <si>
    <t xml:space="preserve">Tranches 30 %, 35 % et 40 %</t>
  </si>
  <si>
    <t xml:space="preserve">Bonus ancienneté 5 ans</t>
  </si>
  <si>
    <t xml:space="preserve">Bonus ancienneté 10 ans</t>
  </si>
  <si>
    <t xml:space="preserve">Bonus ancienneté 15 ans</t>
  </si>
  <si>
    <t xml:space="preserve">Bonus ancienneté 20 ans</t>
  </si>
  <si>
    <t xml:space="preserve">Bonus ancienneté 25 ans</t>
  </si>
  <si>
    <t xml:space="preserve">Bonus ancienneté 30 ans</t>
  </si>
  <si>
    <t xml:space="preserve">Historique salarial limité à 4 mois</t>
  </si>
  <si>
    <t xml:space="preserve">Fallback contractuel sans paie finalisée</t>
  </si>
  <si>
    <t xml:space="preserve">Remboursements de frais exclus</t>
  </si>
  <si>
    <t xml:space="preserve">Primes éligibles incluses</t>
  </si>
  <si>
    <t xml:space="preserve">Frontière exacte du palier 5 ans</t>
  </si>
  <si>
    <t xml:space="preserve">Embauche postérieure à la référence — exclu</t>
  </si>
  <si>
    <t xml:space="preserve">NOT_APPLICABLE</t>
  </si>
  <si>
    <t xml:space="preserve">Exclure : embauche postérieure à la référence</t>
  </si>
  <si>
    <t xml:space="preserve">Isolation tenant B</t>
  </si>
  <si>
    <t xml:space="preserve">Isolation tenant B et totaux distincts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</si>
  <si>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</si>
  <si>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</si>
  <si>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</si>
  <si>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</si>
  <si>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</si>
  <si>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</si>
  <si>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</si>
  <si>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</si>
  <si>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</t>
  </si>
  <si>
    <t xml:space="preserve">Oct</t>
  </si>
  <si>
    <t xml:space="preserve">Nov</t>
  </si>
  <si>
    <t xml:space="preserve">Déc</t>
  </si>
  <si>
    <t xml:space="preserve">Droits acquis</t>
  </si>
  <si>
    <t xml:space="preserve">Congés compensés</t>
  </si>
  <si>
    <t xml:space="preserve">Tranche 1 (30 %)</t>
  </si>
  <si>
    <t xml:space="preserve">Tranche 2 (35 %)</t>
  </si>
  <si>
    <t xml:space="preserve">Tranche 3 (40 %)</t>
  </si>
  <si>
    <t xml:space="preserve">Exposition totale</t>
  </si>
  <si>
    <t xml:space="preserve">Statut</t>
  </si>
  <si>
    <t xml:space="preserve">Contrôle</t>
  </si>
  <si>
    <t xml:space="preserve">Résultat</t>
  </si>
  <si>
    <t xml:space="preserve">Trois onglets métier présents</t>
  </si>
  <si>
    <t xml:space="preserve">PASS</t>
  </si>
  <si>
    <t xml:space="preserve">Synthèse, Détails, Périodes</t>
  </si>
  <si>
    <t xml:space="preserve">C18 exclu</t>
  </si>
  <si>
    <t xml:space="preserve">Statut attendu NOT_APPLICABLE</t>
  </si>
  <si>
    <t xml:space="preserve">B01/B02 séparés du tenant A</t>
  </si>
  <si>
    <t xml:space="preserve">Filtrer la colonne Tenant</t>
  </si>
  <si>
    <t xml:space="preserve">Paies DRAFT exclues</t>
  </si>
  <si>
    <t xml:space="preserve">La rémunération éligible vaut zéro si statut différent de FINALIZED</t>
  </si>
  <si>
    <t xml:space="preserve">C13 utilise 4 mois</t>
  </si>
  <si>
    <t xml:space="preserve">Nombre de paies utilisées = 4</t>
  </si>
  <si>
    <t xml:space="preserve">C14 utilise le fallback</t>
  </si>
  <si>
    <t xml:space="preserve">Aucune paie ; base fallback contractuelle</t>
  </si>
  <si>
    <t xml:space="preserve">C15 exclut les frais</t>
  </si>
  <si>
    <t xml:space="preserve">Les frais ne sont pas inclus dans les colonnes K/L de Périodes</t>
  </si>
  <si>
    <t xml:space="preserve">C16 inclut les primes</t>
  </si>
  <si>
    <t xml:space="preserve">Primes éligibles incluses dans les colonnes K/L</t>
  </si>
  <si>
    <t xml:space="preserve">Formules vérifiées par le responsable paie</t>
  </si>
  <si>
    <t xml:space="preserve">SIGNÉ PAR KABRE THEODORE</t>
  </si>
  <si>
    <t xml:space="preserve">Contrôle indépendant obligatoire</t>
  </si>
  <si>
    <t xml:space="preserve">Checksum SHA-256</t>
  </si>
  <si>
    <t xml:space="preserve">8eacf7e09a5827e93c2deba2420fad6934f156ff6507da21ac761dc02fe7b2eb</t>
  </si>
  <si>
    <t xml:space="preserve">Après signature et enregistrement final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</si>
</sst>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9" activeCellId="0" sqref="B29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4.69"/>
    <col collapsed="false" customWidth="true" hidden="false" outlineLevel="0" max="2" min="2" style="1" width="110.83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1</v>
      </c>
      <c r="B2" s="1" t="s">
        <v>2</v>
      </c>
    </row>
    <row r="3" customFormat="false" ht="15" hidden="false" customHeight="true" outlineLevel="0" collapsed="false">
      <c r="A3" s="1" t="s">
        <v>3</v>
      </c>
      <c r="B3" s="1" t="s">
        <v>4</v>
      </c>
    </row>
    <row r="4" customFormat="false" ht="15" hidden="false" customHeight="true" outlineLevel="0" collapsed="false">
      <c r="A4" s="1" t="s">
        <v>5</v>
      </c>
      <c r="B4" s="1" t="s">
        <v>6</v>
      </c>
    </row>
    <row r="5" customFormat="false" ht="15" hidden="false" customHeight="true" outlineLevel="0" collapsed="false">
      <c r="A5" s="1" t="s">
        <v>7</v>
      </c>
      <c r="B5" s="1" t="s">
        <v>8</v>
      </c>
    </row>
    <row r="6" customFormat="false" ht="15" hidden="false" customHeight="true" outlineLevel="0" collapsed="false">
      <c r="A6" s="1" t="s">
        <v>9</v>
      </c>
      <c r="B6" s="1" t="s">
        <v>10</v>
      </c>
    </row>
    <row r="7" customFormat="false" ht="15" hidden="false" customHeight="true" outlineLevel="0" collapsed="false"/>
    <row r="8" customFormat="false" ht="15" hidden="false" customHeight="true" outlineLevel="0" collapsed="false">
      <c r="A8" s="1" t="s">
        <v>11</v>
      </c>
    </row>
    <row r="9" customFormat="false" ht="15" hidden="false" customHeight="true" outlineLevel="0" collapsed="false">
      <c r="A9" s="1" t="s">
        <v>12</v>
      </c>
      <c r="B9" s="1" t="s">
        <v>13</v>
      </c>
    </row>
    <row r="10" customFormat="false" ht="15" hidden="false" customHeight="true" outlineLevel="0" collapsed="false">
      <c r="A10" s="1" t="s">
        <v>14</v>
      </c>
      <c r="B10" s="1" t="s">
        <v>15</v>
      </c>
    </row>
    <row r="11" customFormat="false" ht="15" hidden="false" customHeight="true" outlineLevel="0" collapsed="false">
      <c r="A11" s="1" t="s">
        <v>16</v>
      </c>
      <c r="B11" s="1" t="s">
        <v>17</v>
      </c>
    </row>
    <row r="12" customFormat="false" ht="15" hidden="false" customHeight="true" outlineLevel="0" collapsed="false">
      <c r="A12" s="1" t="s">
        <v>18</v>
      </c>
      <c r="B12" s="1" t="s">
        <v>19</v>
      </c>
    </row>
    <row r="13" customFormat="false" ht="15" hidden="false" customHeight="true" outlineLevel="0" collapsed="false">
      <c r="A13" s="1" t="s">
        <v>20</v>
      </c>
      <c r="B13" s="1" t="s">
        <v>21</v>
      </c>
    </row>
    <row r="14" customFormat="false" ht="15" hidden="false" customHeight="true" outlineLevel="0" collapsed="false">
      <c r="A14" s="1" t="s">
        <v>22</v>
      </c>
      <c r="B14" s="1" t="s">
        <v>23</v>
      </c>
    </row>
    <row r="15" customFormat="false" ht="15" hidden="false" customHeight="true" outlineLevel="0" collapsed="false">
      <c r="A15" s="1" t="s">
        <v>24</v>
      </c>
      <c r="B15" s="1" t="s">
        <v>25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1" t="s">
        <v>26</v>
      </c>
      <c r="B17" s="1" t="s">
        <v>27</v>
      </c>
    </row>
    <row r="18" customFormat="false" ht="15" hidden="false" customHeight="true" outlineLevel="0" collapsed="false">
      <c r="A18" s="1" t="s">
        <v>28</v>
      </c>
      <c r="B18" s="1" t="s">
        <v>29</v>
      </c>
    </row>
    <row r="19" customFormat="false" ht="15" hidden="false" customHeight="true" outlineLevel="0" collapsed="false">
      <c r="A19" s="1" t="s">
        <v>30</v>
      </c>
      <c r="B19" s="1" t="s">
        <v>31</v>
      </c>
    </row>
    <row r="20" customFormat="false" ht="15" hidden="false" customHeight="true" outlineLevel="0" collapsed="false">
      <c r="A20" s="1" t="s">
        <v>32</v>
      </c>
      <c r="B20" s="1" t="s">
        <v>33</v>
      </c>
    </row>
    <row r="21" customFormat="false" ht="15" hidden="false" customHeight="true" outlineLevel="0" collapsed="false">
      <c r="A21" s="1" t="s">
        <v>34</v>
      </c>
      <c r="B21" s="1" t="s">
        <v>35</v>
      </c>
    </row>
    <row r="22" customFormat="false" ht="15" hidden="false" customHeight="true" outlineLevel="0" collapsed="false">
      <c r="A22" s="1" t="s">
        <v>36</v>
      </c>
      <c r="B22" s="1" t="s">
        <v>37</v>
      </c>
    </row>
    <row r="23" customFormat="false" ht="15" hidden="false" customHeight="true" outlineLevel="0" collapsed="false">
      <c r="A23" s="1" t="s">
        <v>38</v>
      </c>
      <c r="B23" s="1" t="s">
        <v>39</v>
      </c>
    </row>
    <row r="24" customFormat="false" ht="15" hidden="false" customHeight="true" outlineLevel="0" collapsed="false">
      <c r="A24" s="1" t="s">
        <v>40</v>
      </c>
      <c r="B24" s="1" t="s">
        <v>41</v>
      </c>
    </row>
    <row r="25" customFormat="false" ht="15" hidden="false" customHeight="true" outlineLevel="0" collapsed="false"/>
    <row r="26" customFormat="false" ht="15" hidden="false" customHeight="true" outlineLevel="0" collapsed="false">
      <c r="A26" s="1" t="s">
        <v>42</v>
      </c>
    </row>
    <row r="27" customFormat="false" ht="15" hidden="false" customHeight="true" outlineLevel="0" collapsed="false">
      <c r="A27" s="1" t="s">
        <v>43</v>
      </c>
      <c r="B27" s="1" t="s">
        <v>44</v>
      </c>
    </row>
    <row r="28" customFormat="false" ht="15" hidden="false" customHeight="true" outlineLevel="0" collapsed="false">
      <c r="A28" s="1" t="s">
        <v>45</v>
      </c>
      <c r="B28" s="1" t="s">
        <v>46</v>
      </c>
    </row>
    <row r="29" customFormat="false" ht="15" hidden="false" customHeight="true" outlineLevel="0" collapsed="false">
      <c r="A29" s="1" t="s">
        <v>47</v>
      </c>
      <c r="B29" s="1" t="s">
        <v>48</v>
      </c>
    </row>
    <row r="30" customFormat="false" ht="15" hidden="false" customHeight="true" outlineLevel="0" collapsed="false">
      <c r="A30" s="1" t="s">
        <v>49</v>
      </c>
      <c r="B30" s="1" t="s">
        <v>48</v>
      </c>
    </row>
    <row r="31" customFormat="false" ht="15" hidden="false" customHeight="true" outlineLevel="0" collapsed="false">
      <c r="A31" s="1" t="s">
        <v>50</v>
      </c>
      <c r="B31" s="1" t="s">
        <v>51</v>
      </c>
    </row>
    <row r="32" customFormat="false" ht="15" hidden="false" customHeight="true" outlineLevel="0" collapsed="false">
      <c r="A32" s="1" t="s">
        <v>52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10.83"/>
    <col collapsed="false" customWidth="true" hidden="false" outlineLevel="0" max="3" min="2" style="1" width="9.83"/>
    <col collapsed="false" customWidth="true" hidden="false" outlineLevel="0" max="4" min="4" style="1" width="8.83"/>
    <col collapsed="false" customWidth="true" hidden="false" outlineLevel="0" max="5" min="5" style="1" width="14.83"/>
    <col collapsed="false" customWidth="true" hidden="false" outlineLevel="0" max="6" min="6" style="1" width="16.83"/>
    <col collapsed="false" customWidth="true" hidden="false" outlineLevel="0" max="7" min="7" style="1" width="14.83"/>
    <col collapsed="false" customWidth="true" hidden="false" outlineLevel="0" max="8" min="8" style="1" width="18.83"/>
    <col collapsed="false" customWidth="true" hidden="false" outlineLevel="0" max="10" min="9" style="1" width="22.83"/>
    <col collapsed="false" customWidth="true" hidden="false" outlineLevel="0" max="11" min="11" style="1" width="27.83"/>
    <col collapsed="false" customWidth="true" hidden="false" outlineLevel="0" max="12" min="12" style="1" width="31.83"/>
    <col collapsed="false" customWidth="true" hidden="false" outlineLevel="0" max="13" min="13" style="1" width="24.83"/>
    <col collapsed="false" customWidth="true" hidden="false" outlineLevel="0" max="14" min="14" style="1" width="30.83"/>
  </cols>
  <sheetData>
    <row r="1" customFormat="false" ht="15" hidden="false" customHeight="true" outlineLevel="0" collapsed="false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</row>
    <row r="2" customFormat="false" ht="15" hidden="false" customHeight="true" outlineLevel="0" collapsed="false">
      <c r="A2" s="1" t="s">
        <v>67</v>
      </c>
      <c r="B2" s="1" t="s">
        <v>68</v>
      </c>
      <c r="C2" s="1" t="n">
        <v>2026</v>
      </c>
      <c r="D2" s="1" t="n">
        <v>1</v>
      </c>
      <c r="K2" s="3" t="n">
        <f aca="false">IF(E2="FINALIZED",ROUND(F2+G2+H2+I2,0),0)</f>
        <v>0</v>
      </c>
      <c r="L2" s="3" t="n">
        <f aca="false">IF(E2="FINALIZED",ROUND(F2+G2+H2+I2,0),0)</f>
        <v>0</v>
      </c>
    </row>
    <row r="3" customFormat="false" ht="15" hidden="false" customHeight="true" outlineLevel="0" collapsed="false">
      <c r="A3" s="1" t="s">
        <v>67</v>
      </c>
      <c r="B3" s="1" t="s">
        <v>68</v>
      </c>
      <c r="C3" s="1" t="n">
        <v>2026</v>
      </c>
      <c r="D3" s="1" t="n">
        <v>2</v>
      </c>
      <c r="K3" s="3" t="n">
        <f aca="false">IF(E3="FINALIZED",ROUND(F3+G3+H3+I3,0),0)</f>
        <v>0</v>
      </c>
      <c r="L3" s="3" t="n">
        <f aca="false">IF(E3="FINALIZED",ROUND(F3+G3+H3+I3,0),0)</f>
        <v>0</v>
      </c>
    </row>
    <row r="4" customFormat="false" ht="15" hidden="false" customHeight="true" outlineLevel="0" collapsed="false">
      <c r="A4" s="1" t="s">
        <v>67</v>
      </c>
      <c r="B4" s="1" t="s">
        <v>68</v>
      </c>
      <c r="C4" s="1" t="n">
        <v>2026</v>
      </c>
      <c r="D4" s="1" t="n">
        <v>3</v>
      </c>
      <c r="K4" s="3" t="n">
        <f aca="false">IF(E4="FINALIZED",ROUND(F4+G4+H4+I4,0),0)</f>
        <v>0</v>
      </c>
      <c r="L4" s="3" t="n">
        <f aca="false">IF(E4="FINALIZED",ROUND(F4+G4+H4+I4,0),0)</f>
        <v>0</v>
      </c>
    </row>
    <row r="5" customFormat="false" ht="15" hidden="false" customHeight="true" outlineLevel="0" collapsed="false">
      <c r="A5" s="1" t="s">
        <v>67</v>
      </c>
      <c r="B5" s="1" t="s">
        <v>68</v>
      </c>
      <c r="C5" s="1" t="n">
        <v>2026</v>
      </c>
      <c r="D5" s="1" t="n">
        <v>4</v>
      </c>
      <c r="K5" s="3" t="n">
        <f aca="false">IF(E5="FINALIZED",ROUND(F5+G5+H5+I5,0),0)</f>
        <v>0</v>
      </c>
      <c r="L5" s="3" t="n">
        <f aca="false">IF(E5="FINALIZED",ROUND(F5+G5+H5+I5,0),0)</f>
        <v>0</v>
      </c>
    </row>
    <row r="6" customFormat="false" ht="15" hidden="false" customHeight="true" outlineLevel="0" collapsed="false">
      <c r="A6" s="1" t="s">
        <v>67</v>
      </c>
      <c r="B6" s="1" t="s">
        <v>68</v>
      </c>
      <c r="C6" s="1" t="n">
        <v>2026</v>
      </c>
      <c r="D6" s="1" t="n">
        <v>5</v>
      </c>
      <c r="K6" s="3" t="n">
        <f aca="false">IF(E6="FINALIZED",ROUND(F6+G6+H6+I6,0),0)</f>
        <v>0</v>
      </c>
      <c r="L6" s="3" t="n">
        <f aca="false">IF(E6="FINALIZED",ROUND(F6+G6+H6+I6,0),0)</f>
        <v>0</v>
      </c>
    </row>
    <row r="7" customFormat="false" ht="15" hidden="false" customHeight="true" outlineLevel="0" collapsed="false">
      <c r="A7" s="1" t="s">
        <v>67</v>
      </c>
      <c r="B7" s="1" t="s">
        <v>68</v>
      </c>
      <c r="C7" s="1" t="n">
        <v>2026</v>
      </c>
      <c r="D7" s="1" t="n">
        <v>6</v>
      </c>
      <c r="K7" s="3" t="n">
        <f aca="false">IF(E7="FINALIZED",ROUND(F7+G7+H7+I7,0),0)</f>
        <v>0</v>
      </c>
      <c r="L7" s="3" t="n">
        <f aca="false">IF(E7="FINALIZED",ROUND(F7+G7+H7+I7,0),0)</f>
        <v>0</v>
      </c>
    </row>
    <row r="8" customFormat="false" ht="15" hidden="false" customHeight="true" outlineLevel="0" collapsed="false">
      <c r="A8" s="1" t="s">
        <v>67</v>
      </c>
      <c r="B8" s="1" t="s">
        <v>68</v>
      </c>
      <c r="C8" s="1" t="n">
        <v>2026</v>
      </c>
      <c r="D8" s="1" t="n">
        <v>7</v>
      </c>
      <c r="K8" s="3" t="n">
        <f aca="false">IF(E8="FINALIZED",ROUND(F8+G8+H8+I8,0),0)</f>
        <v>0</v>
      </c>
      <c r="L8" s="3" t="n">
        <f aca="false">IF(E8="FINALIZED",ROUND(F8+G8+H8+I8,0),0)</f>
        <v>0</v>
      </c>
    </row>
    <row r="9" customFormat="false" ht="15" hidden="false" customHeight="true" outlineLevel="0" collapsed="false">
      <c r="A9" s="1" t="s">
        <v>67</v>
      </c>
      <c r="B9" s="1" t="s">
        <v>68</v>
      </c>
      <c r="C9" s="1" t="n">
        <v>2026</v>
      </c>
      <c r="D9" s="1" t="n">
        <v>8</v>
      </c>
      <c r="K9" s="3" t="n">
        <f aca="false">IF(E9="FINALIZED",ROUND(F9+G9+H9+I9,0),0)</f>
        <v>0</v>
      </c>
      <c r="L9" s="3" t="n">
        <f aca="false">IF(E9="FINALIZED",ROUND(F9+G9+H9+I9,0),0)</f>
        <v>0</v>
      </c>
    </row>
    <row r="10" customFormat="false" ht="15" hidden="false" customHeight="true" outlineLevel="0" collapsed="false">
      <c r="A10" s="1" t="s">
        <v>67</v>
      </c>
      <c r="B10" s="1" t="s">
        <v>68</v>
      </c>
      <c r="C10" s="1" t="n">
        <v>2026</v>
      </c>
      <c r="D10" s="1" t="n">
        <v>9</v>
      </c>
      <c r="K10" s="3" t="n">
        <f aca="false">IF(E10="FINALIZED",ROUND(F10+G10+H10+I10,0),0)</f>
        <v>0</v>
      </c>
      <c r="L10" s="3" t="n">
        <f aca="false">IF(E10="FINALIZED",ROUND(F10+G10+H10+I10,0),0)</f>
        <v>0</v>
      </c>
    </row>
    <row r="11" customFormat="false" ht="15" hidden="false" customHeight="true" outlineLevel="0" collapsed="false">
      <c r="A11" s="1" t="s">
        <v>67</v>
      </c>
      <c r="B11" s="1" t="s">
        <v>68</v>
      </c>
      <c r="C11" s="1" t="n">
        <v>2026</v>
      </c>
      <c r="D11" s="1" t="n">
        <v>10</v>
      </c>
      <c r="K11" s="3" t="n">
        <f aca="false">IF(E11="FINALIZED",ROUND(F11+G11+H11+I11,0),0)</f>
        <v>0</v>
      </c>
      <c r="L11" s="3" t="n">
        <f aca="false">IF(E11="FINALIZED",ROUND(F11+G11+H11+I11,0),0)</f>
        <v>0</v>
      </c>
    </row>
    <row r="12" customFormat="false" ht="15" hidden="false" customHeight="true" outlineLevel="0" collapsed="false">
      <c r="A12" s="1" t="s">
        <v>67</v>
      </c>
      <c r="B12" s="1" t="s">
        <v>68</v>
      </c>
      <c r="C12" s="1" t="n">
        <v>2026</v>
      </c>
      <c r="D12" s="1" t="n">
        <v>11</v>
      </c>
      <c r="K12" s="3" t="n">
        <f aca="false">IF(E12="FINALIZED",ROUND(F12+G12+H12+I12,0),0)</f>
        <v>0</v>
      </c>
      <c r="L12" s="3" t="n">
        <f aca="false">IF(E12="FINALIZED",ROUND(F12+G12+H12+I12,0),0)</f>
        <v>0</v>
      </c>
    </row>
    <row r="13" customFormat="false" ht="15" hidden="false" customHeight="true" outlineLevel="0" collapsed="false">
      <c r="A13" s="1" t="s">
        <v>67</v>
      </c>
      <c r="B13" s="1" t="s">
        <v>68</v>
      </c>
      <c r="C13" s="1" t="n">
        <v>2026</v>
      </c>
      <c r="D13" s="1" t="n">
        <v>12</v>
      </c>
      <c r="K13" s="3" t="n">
        <f aca="false">IF(E13="FINALIZED",ROUND(F13+G13+H13+I13,0),0)</f>
        <v>0</v>
      </c>
      <c r="L13" s="3" t="n">
        <f aca="false">IF(E13="FINALIZED",ROUND(F13+G13+H13+I13,0),0)</f>
        <v>0</v>
      </c>
    </row>
    <row r="14" customFormat="false" ht="15" hidden="false" customHeight="true" outlineLevel="0" collapsed="false">
      <c r="A14" s="1" t="s">
        <v>69</v>
      </c>
      <c r="B14" s="1" t="s">
        <v>68</v>
      </c>
      <c r="C14" s="1" t="n">
        <v>2026</v>
      </c>
      <c r="D14" s="1" t="n">
        <v>1</v>
      </c>
      <c r="K14" s="3" t="n">
        <f aca="false">IF(E14="FINALIZED",ROUND(F14+G14+H14+I14,0),0)</f>
        <v>0</v>
      </c>
      <c r="L14" s="3" t="n">
        <f aca="false">IF(E14="FINALIZED",ROUND(F14+G14+H14+I14,0),0)</f>
        <v>0</v>
      </c>
    </row>
    <row r="15" customFormat="false" ht="15" hidden="false" customHeight="true" outlineLevel="0" collapsed="false">
      <c r="A15" s="1" t="s">
        <v>69</v>
      </c>
      <c r="B15" s="1" t="s">
        <v>68</v>
      </c>
      <c r="C15" s="1" t="n">
        <v>2026</v>
      </c>
      <c r="D15" s="1" t="n">
        <v>2</v>
      </c>
      <c r="K15" s="3" t="n">
        <f aca="false">IF(E15="FINALIZED",ROUND(F15+G15+H15+I15,0),0)</f>
        <v>0</v>
      </c>
      <c r="L15" s="3" t="n">
        <f aca="false">IF(E15="FINALIZED",ROUND(F15+G15+H15+I15,0),0)</f>
        <v>0</v>
      </c>
    </row>
    <row r="16" customFormat="false" ht="15" hidden="false" customHeight="true" outlineLevel="0" collapsed="false">
      <c r="A16" s="1" t="s">
        <v>69</v>
      </c>
      <c r="B16" s="1" t="s">
        <v>68</v>
      </c>
      <c r="C16" s="1" t="n">
        <v>2026</v>
      </c>
      <c r="D16" s="1" t="n">
        <v>3</v>
      </c>
      <c r="K16" s="3" t="n">
        <f aca="false">IF(E16="FINALIZED",ROUND(F16+G16+H16+I16,0),0)</f>
        <v>0</v>
      </c>
      <c r="L16" s="3" t="n">
        <f aca="false">IF(E16="FINALIZED",ROUND(F16+G16+H16+I16,0),0)</f>
        <v>0</v>
      </c>
    </row>
    <row r="17" customFormat="false" ht="15" hidden="false" customHeight="true" outlineLevel="0" collapsed="false">
      <c r="A17" s="1" t="s">
        <v>69</v>
      </c>
      <c r="B17" s="1" t="s">
        <v>68</v>
      </c>
      <c r="C17" s="1" t="n">
        <v>2026</v>
      </c>
      <c r="D17" s="1" t="n">
        <v>4</v>
      </c>
      <c r="K17" s="3" t="n">
        <f aca="false">IF(E17="FINALIZED",ROUND(F17+G17+H17+I17,0),0)</f>
        <v>0</v>
      </c>
      <c r="L17" s="3" t="n">
        <f aca="false">IF(E17="FINALIZED",ROUND(F17+G17+H17+I17,0),0)</f>
        <v>0</v>
      </c>
    </row>
    <row r="18" customFormat="false" ht="15" hidden="false" customHeight="true" outlineLevel="0" collapsed="false">
      <c r="A18" s="1" t="s">
        <v>69</v>
      </c>
      <c r="B18" s="1" t="s">
        <v>68</v>
      </c>
      <c r="C18" s="1" t="n">
        <v>2026</v>
      </c>
      <c r="D18" s="1" t="n">
        <v>5</v>
      </c>
      <c r="K18" s="3" t="n">
        <f aca="false">IF(E18="FINALIZED",ROUND(F18+G18+H18+I18,0),0)</f>
        <v>0</v>
      </c>
      <c r="L18" s="3" t="n">
        <f aca="false">IF(E18="FINALIZED",ROUND(F18+G18+H18+I18,0),0)</f>
        <v>0</v>
      </c>
    </row>
    <row r="19" customFormat="false" ht="15" hidden="false" customHeight="true" outlineLevel="0" collapsed="false">
      <c r="A19" s="1" t="s">
        <v>69</v>
      </c>
      <c r="B19" s="1" t="s">
        <v>68</v>
      </c>
      <c r="C19" s="1" t="n">
        <v>2026</v>
      </c>
      <c r="D19" s="1" t="n">
        <v>6</v>
      </c>
      <c r="K19" s="3" t="n">
        <f aca="false">IF(E19="FINALIZED",ROUND(F19+G19+H19+I19,0),0)</f>
        <v>0</v>
      </c>
      <c r="L19" s="3" t="n">
        <f aca="false">IF(E19="FINALIZED",ROUND(F19+G19+H19+I19,0),0)</f>
        <v>0</v>
      </c>
    </row>
    <row r="20" customFormat="false" ht="15" hidden="false" customHeight="true" outlineLevel="0" collapsed="false">
      <c r="A20" s="1" t="s">
        <v>69</v>
      </c>
      <c r="B20" s="1" t="s">
        <v>68</v>
      </c>
      <c r="C20" s="1" t="n">
        <v>2026</v>
      </c>
      <c r="D20" s="1" t="n">
        <v>7</v>
      </c>
      <c r="K20" s="3" t="n">
        <f aca="false">IF(E20="FINALIZED",ROUND(F20+G20+H20+I20,0),0)</f>
        <v>0</v>
      </c>
      <c r="L20" s="3" t="n">
        <f aca="false">IF(E20="FINALIZED",ROUND(F20+G20+H20+I20,0),0)</f>
        <v>0</v>
      </c>
    </row>
    <row r="21" customFormat="false" ht="15" hidden="false" customHeight="true" outlineLevel="0" collapsed="false">
      <c r="A21" s="1" t="s">
        <v>69</v>
      </c>
      <c r="B21" s="1" t="s">
        <v>68</v>
      </c>
      <c r="C21" s="1" t="n">
        <v>2026</v>
      </c>
      <c r="D21" s="1" t="n">
        <v>8</v>
      </c>
      <c r="K21" s="3" t="n">
        <f aca="false">IF(E21="FINALIZED",ROUND(F21+G21+H21+I21,0),0)</f>
        <v>0</v>
      </c>
      <c r="L21" s="3" t="n">
        <f aca="false">IF(E21="FINALIZED",ROUND(F21+G21+H21+I21,0),0)</f>
        <v>0</v>
      </c>
    </row>
    <row r="22" customFormat="false" ht="15" hidden="false" customHeight="true" outlineLevel="0" collapsed="false">
      <c r="A22" s="1" t="s">
        <v>69</v>
      </c>
      <c r="B22" s="1" t="s">
        <v>68</v>
      </c>
      <c r="C22" s="1" t="n">
        <v>2026</v>
      </c>
      <c r="D22" s="1" t="n">
        <v>9</v>
      </c>
      <c r="K22" s="3" t="n">
        <f aca="false">IF(E22="FINALIZED",ROUND(F22+G22+H22+I22,0),0)</f>
        <v>0</v>
      </c>
      <c r="L22" s="3" t="n">
        <f aca="false">IF(E22="FINALIZED",ROUND(F22+G22+H22+I22,0),0)</f>
        <v>0</v>
      </c>
    </row>
    <row r="23" customFormat="false" ht="15" hidden="false" customHeight="true" outlineLevel="0" collapsed="false">
      <c r="A23" s="1" t="s">
        <v>69</v>
      </c>
      <c r="B23" s="1" t="s">
        <v>68</v>
      </c>
      <c r="C23" s="1" t="n">
        <v>2026</v>
      </c>
      <c r="D23" s="1" t="n">
        <v>10</v>
      </c>
      <c r="K23" s="3" t="n">
        <f aca="false">IF(E23="FINALIZED",ROUND(F23+G23+H23+I23,0),0)</f>
        <v>0</v>
      </c>
      <c r="L23" s="3" t="n">
        <f aca="false">IF(E23="FINALIZED",ROUND(F23+G23+H23+I23,0),0)</f>
        <v>0</v>
      </c>
    </row>
    <row r="24" customFormat="false" ht="15" hidden="false" customHeight="true" outlineLevel="0" collapsed="false">
      <c r="A24" s="1" t="s">
        <v>69</v>
      </c>
      <c r="B24" s="1" t="s">
        <v>68</v>
      </c>
      <c r="C24" s="1" t="n">
        <v>2026</v>
      </c>
      <c r="D24" s="1" t="n">
        <v>11</v>
      </c>
      <c r="K24" s="3" t="n">
        <f aca="false">IF(E24="FINALIZED",ROUND(F24+G24+H24+I24,0),0)</f>
        <v>0</v>
      </c>
      <c r="L24" s="3" t="n">
        <f aca="false">IF(E24="FINALIZED",ROUND(F24+G24+H24+I24,0),0)</f>
        <v>0</v>
      </c>
    </row>
    <row r="25" customFormat="false" ht="15" hidden="false" customHeight="true" outlineLevel="0" collapsed="false">
      <c r="A25" s="1" t="s">
        <v>69</v>
      </c>
      <c r="B25" s="1" t="s">
        <v>68</v>
      </c>
      <c r="C25" s="1" t="n">
        <v>2026</v>
      </c>
      <c r="D25" s="1" t="n">
        <v>12</v>
      </c>
      <c r="K25" s="3" t="n">
        <f aca="false">IF(E25="FINALIZED",ROUND(F25+G25+H25+I25,0),0)</f>
        <v>0</v>
      </c>
      <c r="L25" s="3" t="n">
        <f aca="false">IF(E25="FINALIZED",ROUND(F25+G25+H25+I25,0),0)</f>
        <v>0</v>
      </c>
    </row>
    <row r="26" customFormat="false" ht="15" hidden="false" customHeight="true" outlineLevel="0" collapsed="false">
      <c r="A26" s="1" t="s">
        <v>70</v>
      </c>
      <c r="B26" s="1" t="s">
        <v>68</v>
      </c>
      <c r="C26" s="1" t="n">
        <v>2026</v>
      </c>
      <c r="D26" s="1" t="n">
        <v>1</v>
      </c>
      <c r="K26" s="3" t="n">
        <f aca="false">IF(E26="FINALIZED",ROUND(F26+G26+H26+I26,0),0)</f>
        <v>0</v>
      </c>
      <c r="L26" s="3" t="n">
        <f aca="false">IF(E26="FINALIZED",ROUND(F26+G26+H26+I26,0),0)</f>
        <v>0</v>
      </c>
    </row>
    <row r="27" customFormat="false" ht="15" hidden="false" customHeight="true" outlineLevel="0" collapsed="false">
      <c r="A27" s="1" t="s">
        <v>70</v>
      </c>
      <c r="B27" s="1" t="s">
        <v>68</v>
      </c>
      <c r="C27" s="1" t="n">
        <v>2026</v>
      </c>
      <c r="D27" s="1" t="n">
        <v>2</v>
      </c>
      <c r="K27" s="3" t="n">
        <f aca="false">IF(E27="FINALIZED",ROUND(F27+G27+H27+I27,0),0)</f>
        <v>0</v>
      </c>
      <c r="L27" s="3" t="n">
        <f aca="false">IF(E27="FINALIZED",ROUND(F27+G27+H27+I27,0),0)</f>
        <v>0</v>
      </c>
    </row>
    <row r="28" customFormat="false" ht="15" hidden="false" customHeight="true" outlineLevel="0" collapsed="false">
      <c r="A28" s="1" t="s">
        <v>70</v>
      </c>
      <c r="B28" s="1" t="s">
        <v>68</v>
      </c>
      <c r="C28" s="1" t="n">
        <v>2026</v>
      </c>
      <c r="D28" s="1" t="n">
        <v>3</v>
      </c>
      <c r="K28" s="3" t="n">
        <f aca="false">IF(E28="FINALIZED",ROUND(F28+G28+H28+I28,0),0)</f>
        <v>0</v>
      </c>
      <c r="L28" s="3" t="n">
        <f aca="false">IF(E28="FINALIZED",ROUND(F28+G28+H28+I28,0),0)</f>
        <v>0</v>
      </c>
    </row>
    <row r="29" customFormat="false" ht="15" hidden="false" customHeight="true" outlineLevel="0" collapsed="false">
      <c r="A29" s="1" t="s">
        <v>70</v>
      </c>
      <c r="B29" s="1" t="s">
        <v>68</v>
      </c>
      <c r="C29" s="1" t="n">
        <v>2026</v>
      </c>
      <c r="D29" s="1" t="n">
        <v>4</v>
      </c>
      <c r="K29" s="3" t="n">
        <f aca="false">IF(E29="FINALIZED",ROUND(F29+G29+H29+I29,0),0)</f>
        <v>0</v>
      </c>
      <c r="L29" s="3" t="n">
        <f aca="false">IF(E29="FINALIZED",ROUND(F29+G29+H29+I29,0),0)</f>
        <v>0</v>
      </c>
    </row>
    <row r="30" customFormat="false" ht="15" hidden="false" customHeight="true" outlineLevel="0" collapsed="false">
      <c r="A30" s="1" t="s">
        <v>70</v>
      </c>
      <c r="B30" s="1" t="s">
        <v>68</v>
      </c>
      <c r="C30" s="1" t="n">
        <v>2026</v>
      </c>
      <c r="D30" s="1" t="n">
        <v>5</v>
      </c>
      <c r="K30" s="3" t="n">
        <f aca="false">IF(E30="FINALIZED",ROUND(F30+G30+H30+I30,0),0)</f>
        <v>0</v>
      </c>
      <c r="L30" s="3" t="n">
        <f aca="false">IF(E30="FINALIZED",ROUND(F30+G30+H30+I30,0),0)</f>
        <v>0</v>
      </c>
    </row>
    <row r="31" customFormat="false" ht="15" hidden="false" customHeight="true" outlineLevel="0" collapsed="false">
      <c r="A31" s="1" t="s">
        <v>70</v>
      </c>
      <c r="B31" s="1" t="s">
        <v>68</v>
      </c>
      <c r="C31" s="1" t="n">
        <v>2026</v>
      </c>
      <c r="D31" s="1" t="n">
        <v>6</v>
      </c>
      <c r="K31" s="3" t="n">
        <f aca="false">IF(E31="FINALIZED",ROUND(F31+G31+H31+I31,0),0)</f>
        <v>0</v>
      </c>
      <c r="L31" s="3" t="n">
        <f aca="false">IF(E31="FINALIZED",ROUND(F31+G31+H31+I31,0),0)</f>
        <v>0</v>
      </c>
    </row>
    <row r="32" customFormat="false" ht="15" hidden="false" customHeight="true" outlineLevel="0" collapsed="false">
      <c r="A32" s="1" t="s">
        <v>70</v>
      </c>
      <c r="B32" s="1" t="s">
        <v>68</v>
      </c>
      <c r="C32" s="1" t="n">
        <v>2026</v>
      </c>
      <c r="D32" s="1" t="n">
        <v>7</v>
      </c>
      <c r="K32" s="3" t="n">
        <f aca="false">IF(E32="FINALIZED",ROUND(F32+G32+H32+I32,0),0)</f>
        <v>0</v>
      </c>
      <c r="L32" s="3" t="n">
        <f aca="false">IF(E32="FINALIZED",ROUND(F32+G32+H32+I32,0),0)</f>
        <v>0</v>
      </c>
    </row>
    <row r="33" customFormat="false" ht="15" hidden="false" customHeight="true" outlineLevel="0" collapsed="false">
      <c r="A33" s="1" t="s">
        <v>70</v>
      </c>
      <c r="B33" s="1" t="s">
        <v>68</v>
      </c>
      <c r="C33" s="1" t="n">
        <v>2026</v>
      </c>
      <c r="D33" s="1" t="n">
        <v>8</v>
      </c>
      <c r="K33" s="3" t="n">
        <f aca="false">IF(E33="FINALIZED",ROUND(F33+G33+H33+I33,0),0)</f>
        <v>0</v>
      </c>
      <c r="L33" s="3" t="n">
        <f aca="false">IF(E33="FINALIZED",ROUND(F33+G33+H33+I33,0),0)</f>
        <v>0</v>
      </c>
    </row>
    <row r="34" customFormat="false" ht="15" hidden="false" customHeight="true" outlineLevel="0" collapsed="false">
      <c r="A34" s="1" t="s">
        <v>70</v>
      </c>
      <c r="B34" s="1" t="s">
        <v>68</v>
      </c>
      <c r="C34" s="1" t="n">
        <v>2026</v>
      </c>
      <c r="D34" s="1" t="n">
        <v>9</v>
      </c>
      <c r="K34" s="3" t="n">
        <f aca="false">IF(E34="FINALIZED",ROUND(F34+G34+H34+I34,0),0)</f>
        <v>0</v>
      </c>
      <c r="L34" s="3" t="n">
        <f aca="false">IF(E34="FINALIZED",ROUND(F34+G34+H34+I34,0),0)</f>
        <v>0</v>
      </c>
    </row>
    <row r="35" customFormat="false" ht="15" hidden="false" customHeight="true" outlineLevel="0" collapsed="false">
      <c r="A35" s="1" t="s">
        <v>70</v>
      </c>
      <c r="B35" s="1" t="s">
        <v>68</v>
      </c>
      <c r="C35" s="1" t="n">
        <v>2026</v>
      </c>
      <c r="D35" s="1" t="n">
        <v>10</v>
      </c>
      <c r="K35" s="3" t="n">
        <f aca="false">IF(E35="FINALIZED",ROUND(F35+G35+H35+I35,0),0)</f>
        <v>0</v>
      </c>
      <c r="L35" s="3" t="n">
        <f aca="false">IF(E35="FINALIZED",ROUND(F35+G35+H35+I35,0),0)</f>
        <v>0</v>
      </c>
    </row>
    <row r="36" customFormat="false" ht="15" hidden="false" customHeight="true" outlineLevel="0" collapsed="false">
      <c r="A36" s="1" t="s">
        <v>70</v>
      </c>
      <c r="B36" s="1" t="s">
        <v>68</v>
      </c>
      <c r="C36" s="1" t="n">
        <v>2026</v>
      </c>
      <c r="D36" s="1" t="n">
        <v>11</v>
      </c>
      <c r="K36" s="3" t="n">
        <f aca="false">IF(E36="FINALIZED",ROUND(F36+G36+H36+I36,0),0)</f>
        <v>0</v>
      </c>
      <c r="L36" s="3" t="n">
        <f aca="false">IF(E36="FINALIZED",ROUND(F36+G36+H36+I36,0),0)</f>
        <v>0</v>
      </c>
    </row>
    <row r="37" customFormat="false" ht="15" hidden="false" customHeight="true" outlineLevel="0" collapsed="false">
      <c r="A37" s="1" t="s">
        <v>70</v>
      </c>
      <c r="B37" s="1" t="s">
        <v>68</v>
      </c>
      <c r="C37" s="1" t="n">
        <v>2026</v>
      </c>
      <c r="D37" s="1" t="n">
        <v>12</v>
      </c>
      <c r="K37" s="3" t="n">
        <f aca="false">IF(E37="FINALIZED",ROUND(F37+G37+H37+I37,0),0)</f>
        <v>0</v>
      </c>
      <c r="L37" s="3" t="n">
        <f aca="false">IF(E37="FINALIZED",ROUND(F37+G37+H37+I37,0),0)</f>
        <v>0</v>
      </c>
    </row>
    <row r="38" customFormat="false" ht="15" hidden="false" customHeight="true" outlineLevel="0" collapsed="false">
      <c r="A38" s="1" t="s">
        <v>71</v>
      </c>
      <c r="B38" s="1" t="s">
        <v>68</v>
      </c>
      <c r="C38" s="1" t="n">
        <v>2026</v>
      </c>
      <c r="D38" s="1" t="n">
        <v>1</v>
      </c>
      <c r="K38" s="3" t="n">
        <f aca="false">IF(E38="FINALIZED",ROUND(F38+G38+H38+I38,0),0)</f>
        <v>0</v>
      </c>
      <c r="L38" s="3" t="n">
        <f aca="false">IF(E38="FINALIZED",ROUND(F38+G38+H38+I38,0),0)</f>
        <v>0</v>
      </c>
    </row>
    <row r="39" customFormat="false" ht="15" hidden="false" customHeight="true" outlineLevel="0" collapsed="false">
      <c r="A39" s="1" t="s">
        <v>71</v>
      </c>
      <c r="B39" s="1" t="s">
        <v>68</v>
      </c>
      <c r="C39" s="1" t="n">
        <v>2026</v>
      </c>
      <c r="D39" s="1" t="n">
        <v>2</v>
      </c>
      <c r="K39" s="3" t="n">
        <f aca="false">IF(E39="FINALIZED",ROUND(F39+G39+H39+I39,0),0)</f>
        <v>0</v>
      </c>
      <c r="L39" s="3" t="n">
        <f aca="false">IF(E39="FINALIZED",ROUND(F39+G39+H39+I39,0),0)</f>
        <v>0</v>
      </c>
    </row>
    <row r="40" customFormat="false" ht="15" hidden="false" customHeight="true" outlineLevel="0" collapsed="false">
      <c r="A40" s="1" t="s">
        <v>71</v>
      </c>
      <c r="B40" s="1" t="s">
        <v>68</v>
      </c>
      <c r="C40" s="1" t="n">
        <v>2026</v>
      </c>
      <c r="D40" s="1" t="n">
        <v>3</v>
      </c>
      <c r="K40" s="3" t="n">
        <f aca="false">IF(E40="FINALIZED",ROUND(F40+G40+H40+I40,0),0)</f>
        <v>0</v>
      </c>
      <c r="L40" s="3" t="n">
        <f aca="false">IF(E40="FINALIZED",ROUND(F40+G40+H40+I40,0),0)</f>
        <v>0</v>
      </c>
    </row>
    <row r="41" customFormat="false" ht="15" hidden="false" customHeight="true" outlineLevel="0" collapsed="false">
      <c r="A41" s="1" t="s">
        <v>71</v>
      </c>
      <c r="B41" s="1" t="s">
        <v>68</v>
      </c>
      <c r="C41" s="1" t="n">
        <v>2026</v>
      </c>
      <c r="D41" s="1" t="n">
        <v>4</v>
      </c>
      <c r="K41" s="3" t="n">
        <f aca="false">IF(E41="FINALIZED",ROUND(F41+G41+H41+I41,0),0)</f>
        <v>0</v>
      </c>
      <c r="L41" s="3" t="n">
        <f aca="false">IF(E41="FINALIZED",ROUND(F41+G41+H41+I41,0),0)</f>
        <v>0</v>
      </c>
    </row>
    <row r="42" customFormat="false" ht="15" hidden="false" customHeight="true" outlineLevel="0" collapsed="false">
      <c r="A42" s="1" t="s">
        <v>71</v>
      </c>
      <c r="B42" s="1" t="s">
        <v>68</v>
      </c>
      <c r="C42" s="1" t="n">
        <v>2026</v>
      </c>
      <c r="D42" s="1" t="n">
        <v>5</v>
      </c>
      <c r="K42" s="3" t="n">
        <f aca="false">IF(E42="FINALIZED",ROUND(F42+G42+H42+I42,0),0)</f>
        <v>0</v>
      </c>
      <c r="L42" s="3" t="n">
        <f aca="false">IF(E42="FINALIZED",ROUND(F42+G42+H42+I42,0),0)</f>
        <v>0</v>
      </c>
    </row>
    <row r="43" customFormat="false" ht="15" hidden="false" customHeight="true" outlineLevel="0" collapsed="false">
      <c r="A43" s="1" t="s">
        <v>71</v>
      </c>
      <c r="B43" s="1" t="s">
        <v>68</v>
      </c>
      <c r="C43" s="1" t="n">
        <v>2026</v>
      </c>
      <c r="D43" s="1" t="n">
        <v>6</v>
      </c>
      <c r="K43" s="3" t="n">
        <f aca="false">IF(E43="FINALIZED",ROUND(F43+G43+H43+I43,0),0)</f>
        <v>0</v>
      </c>
      <c r="L43" s="3" t="n">
        <f aca="false">IF(E43="FINALIZED",ROUND(F43+G43+H43+I43,0),0)</f>
        <v>0</v>
      </c>
    </row>
    <row r="44" customFormat="false" ht="15" hidden="false" customHeight="true" outlineLevel="0" collapsed="false">
      <c r="A44" s="1" t="s">
        <v>71</v>
      </c>
      <c r="B44" s="1" t="s">
        <v>68</v>
      </c>
      <c r="C44" s="1" t="n">
        <v>2026</v>
      </c>
      <c r="D44" s="1" t="n">
        <v>7</v>
      </c>
      <c r="K44" s="3" t="n">
        <f aca="false">IF(E44="FINALIZED",ROUND(F44+G44+H44+I44,0),0)</f>
        <v>0</v>
      </c>
      <c r="L44" s="3" t="n">
        <f aca="false">IF(E44="FINALIZED",ROUND(F44+G44+H44+I44,0),0)</f>
        <v>0</v>
      </c>
    </row>
    <row r="45" customFormat="false" ht="15" hidden="false" customHeight="true" outlineLevel="0" collapsed="false">
      <c r="A45" s="1" t="s">
        <v>71</v>
      </c>
      <c r="B45" s="1" t="s">
        <v>68</v>
      </c>
      <c r="C45" s="1" t="n">
        <v>2026</v>
      </c>
      <c r="D45" s="1" t="n">
        <v>8</v>
      </c>
      <c r="K45" s="3" t="n">
        <f aca="false">IF(E45="FINALIZED",ROUND(F45+G45+H45+I45,0),0)</f>
        <v>0</v>
      </c>
      <c r="L45" s="3" t="n">
        <f aca="false">IF(E45="FINALIZED",ROUND(F45+G45+H45+I45,0),0)</f>
        <v>0</v>
      </c>
    </row>
    <row r="46" customFormat="false" ht="15" hidden="false" customHeight="true" outlineLevel="0" collapsed="false">
      <c r="A46" s="1" t="s">
        <v>71</v>
      </c>
      <c r="B46" s="1" t="s">
        <v>68</v>
      </c>
      <c r="C46" s="1" t="n">
        <v>2026</v>
      </c>
      <c r="D46" s="1" t="n">
        <v>9</v>
      </c>
      <c r="K46" s="3" t="n">
        <f aca="false">IF(E46="FINALIZED",ROUND(F46+G46+H46+I46,0),0)</f>
        <v>0</v>
      </c>
      <c r="L46" s="3" t="n">
        <f aca="false">IF(E46="FINALIZED",ROUND(F46+G46+H46+I46,0),0)</f>
        <v>0</v>
      </c>
    </row>
    <row r="47" customFormat="false" ht="15" hidden="false" customHeight="true" outlineLevel="0" collapsed="false">
      <c r="A47" s="1" t="s">
        <v>71</v>
      </c>
      <c r="B47" s="1" t="s">
        <v>68</v>
      </c>
      <c r="C47" s="1" t="n">
        <v>2026</v>
      </c>
      <c r="D47" s="1" t="n">
        <v>10</v>
      </c>
      <c r="K47" s="3" t="n">
        <f aca="false">IF(E47="FINALIZED",ROUND(F47+G47+H47+I47,0),0)</f>
        <v>0</v>
      </c>
      <c r="L47" s="3" t="n">
        <f aca="false">IF(E47="FINALIZED",ROUND(F47+G47+H47+I47,0),0)</f>
        <v>0</v>
      </c>
    </row>
    <row r="48" customFormat="false" ht="15" hidden="false" customHeight="true" outlineLevel="0" collapsed="false">
      <c r="A48" s="1" t="s">
        <v>71</v>
      </c>
      <c r="B48" s="1" t="s">
        <v>68</v>
      </c>
      <c r="C48" s="1" t="n">
        <v>2026</v>
      </c>
      <c r="D48" s="1" t="n">
        <v>11</v>
      </c>
      <c r="K48" s="3" t="n">
        <f aca="false">IF(E48="FINALIZED",ROUND(F48+G48+H48+I48,0),0)</f>
        <v>0</v>
      </c>
      <c r="L48" s="3" t="n">
        <f aca="false">IF(E48="FINALIZED",ROUND(F48+G48+H48+I48,0),0)</f>
        <v>0</v>
      </c>
    </row>
    <row r="49" customFormat="false" ht="15" hidden="false" customHeight="true" outlineLevel="0" collapsed="false">
      <c r="A49" s="1" t="s">
        <v>71</v>
      </c>
      <c r="B49" s="1" t="s">
        <v>68</v>
      </c>
      <c r="C49" s="1" t="n">
        <v>2026</v>
      </c>
      <c r="D49" s="1" t="n">
        <v>12</v>
      </c>
      <c r="K49" s="3" t="n">
        <f aca="false">IF(E49="FINALIZED",ROUND(F49+G49+H49+I49,0),0)</f>
        <v>0</v>
      </c>
      <c r="L49" s="3" t="n">
        <f aca="false">IF(E49="FINALIZED",ROUND(F49+G49+H49+I49,0),0)</f>
        <v>0</v>
      </c>
    </row>
    <row r="50" customFormat="false" ht="15" hidden="false" customHeight="true" outlineLevel="0" collapsed="false">
      <c r="A50" s="1" t="s">
        <v>72</v>
      </c>
      <c r="B50" s="1" t="s">
        <v>68</v>
      </c>
      <c r="C50" s="1" t="n">
        <v>2026</v>
      </c>
      <c r="D50" s="1" t="n">
        <v>1</v>
      </c>
      <c r="K50" s="3" t="n">
        <f aca="false">IF(E50="FINALIZED",ROUND(F50+G50+H50+I50,0),0)</f>
        <v>0</v>
      </c>
      <c r="L50" s="3" t="n">
        <f aca="false">IF(E50="FINALIZED",ROUND(F50+G50+H50+I50,0),0)</f>
        <v>0</v>
      </c>
    </row>
    <row r="51" customFormat="false" ht="15" hidden="false" customHeight="true" outlineLevel="0" collapsed="false">
      <c r="A51" s="1" t="s">
        <v>72</v>
      </c>
      <c r="B51" s="1" t="s">
        <v>68</v>
      </c>
      <c r="C51" s="1" t="n">
        <v>2026</v>
      </c>
      <c r="D51" s="1" t="n">
        <v>2</v>
      </c>
      <c r="K51" s="3" t="n">
        <f aca="false">IF(E51="FINALIZED",ROUND(F51+G51+H51+I51,0),0)</f>
        <v>0</v>
      </c>
      <c r="L51" s="3" t="n">
        <f aca="false">IF(E51="FINALIZED",ROUND(F51+G51+H51+I51,0),0)</f>
        <v>0</v>
      </c>
    </row>
    <row r="52" customFormat="false" ht="15" hidden="false" customHeight="true" outlineLevel="0" collapsed="false">
      <c r="A52" s="1" t="s">
        <v>72</v>
      </c>
      <c r="B52" s="1" t="s">
        <v>68</v>
      </c>
      <c r="C52" s="1" t="n">
        <v>2026</v>
      </c>
      <c r="D52" s="1" t="n">
        <v>3</v>
      </c>
      <c r="K52" s="3" t="n">
        <f aca="false">IF(E52="FINALIZED",ROUND(F52+G52+H52+I52,0),0)</f>
        <v>0</v>
      </c>
      <c r="L52" s="3" t="n">
        <f aca="false">IF(E52="FINALIZED",ROUND(F52+G52+H52+I52,0),0)</f>
        <v>0</v>
      </c>
    </row>
    <row r="53" customFormat="false" ht="15" hidden="false" customHeight="true" outlineLevel="0" collapsed="false">
      <c r="A53" s="1" t="s">
        <v>72</v>
      </c>
      <c r="B53" s="1" t="s">
        <v>68</v>
      </c>
      <c r="C53" s="1" t="n">
        <v>2026</v>
      </c>
      <c r="D53" s="1" t="n">
        <v>4</v>
      </c>
      <c r="K53" s="3" t="n">
        <f aca="false">IF(E53="FINALIZED",ROUND(F53+G53+H53+I53,0),0)</f>
        <v>0</v>
      </c>
      <c r="L53" s="3" t="n">
        <f aca="false">IF(E53="FINALIZED",ROUND(F53+G53+H53+I53,0),0)</f>
        <v>0</v>
      </c>
    </row>
    <row r="54" customFormat="false" ht="15" hidden="false" customHeight="true" outlineLevel="0" collapsed="false">
      <c r="A54" s="1" t="s">
        <v>72</v>
      </c>
      <c r="B54" s="1" t="s">
        <v>68</v>
      </c>
      <c r="C54" s="1" t="n">
        <v>2026</v>
      </c>
      <c r="D54" s="1" t="n">
        <v>5</v>
      </c>
      <c r="K54" s="3" t="n">
        <f aca="false">IF(E54="FINALIZED",ROUND(F54+G54+H54+I54,0),0)</f>
        <v>0</v>
      </c>
      <c r="L54" s="3" t="n">
        <f aca="false">IF(E54="FINALIZED",ROUND(F54+G54+H54+I54,0),0)</f>
        <v>0</v>
      </c>
    </row>
    <row r="55" customFormat="false" ht="15" hidden="false" customHeight="true" outlineLevel="0" collapsed="false">
      <c r="A55" s="1" t="s">
        <v>72</v>
      </c>
      <c r="B55" s="1" t="s">
        <v>68</v>
      </c>
      <c r="C55" s="1" t="n">
        <v>2026</v>
      </c>
      <c r="D55" s="1" t="n">
        <v>6</v>
      </c>
      <c r="K55" s="3" t="n">
        <f aca="false">IF(E55="FINALIZED",ROUND(F55+G55+H55+I55,0),0)</f>
        <v>0</v>
      </c>
      <c r="L55" s="3" t="n">
        <f aca="false">IF(E55="FINALIZED",ROUND(F55+G55+H55+I55,0),0)</f>
        <v>0</v>
      </c>
    </row>
    <row r="56" customFormat="false" ht="15" hidden="false" customHeight="true" outlineLevel="0" collapsed="false">
      <c r="A56" s="1" t="s">
        <v>72</v>
      </c>
      <c r="B56" s="1" t="s">
        <v>68</v>
      </c>
      <c r="C56" s="1" t="n">
        <v>2026</v>
      </c>
      <c r="D56" s="1" t="n">
        <v>7</v>
      </c>
      <c r="K56" s="3" t="n">
        <f aca="false">IF(E56="FINALIZED",ROUND(F56+G56+H56+I56,0),0)</f>
        <v>0</v>
      </c>
      <c r="L56" s="3" t="n">
        <f aca="false">IF(E56="FINALIZED",ROUND(F56+G56+H56+I56,0),0)</f>
        <v>0</v>
      </c>
    </row>
    <row r="57" customFormat="false" ht="15" hidden="false" customHeight="true" outlineLevel="0" collapsed="false">
      <c r="A57" s="1" t="s">
        <v>72</v>
      </c>
      <c r="B57" s="1" t="s">
        <v>68</v>
      </c>
      <c r="C57" s="1" t="n">
        <v>2026</v>
      </c>
      <c r="D57" s="1" t="n">
        <v>8</v>
      </c>
      <c r="K57" s="3" t="n">
        <f aca="false">IF(E57="FINALIZED",ROUND(F57+G57+H57+I57,0),0)</f>
        <v>0</v>
      </c>
      <c r="L57" s="3" t="n">
        <f aca="false">IF(E57="FINALIZED",ROUND(F57+G57+H57+I57,0),0)</f>
        <v>0</v>
      </c>
    </row>
    <row r="58" customFormat="false" ht="15" hidden="false" customHeight="true" outlineLevel="0" collapsed="false">
      <c r="A58" s="1" t="s">
        <v>72</v>
      </c>
      <c r="B58" s="1" t="s">
        <v>68</v>
      </c>
      <c r="C58" s="1" t="n">
        <v>2026</v>
      </c>
      <c r="D58" s="1" t="n">
        <v>9</v>
      </c>
      <c r="K58" s="3" t="n">
        <f aca="false">IF(E58="FINALIZED",ROUND(F58+G58+H58+I58,0),0)</f>
        <v>0</v>
      </c>
      <c r="L58" s="3" t="n">
        <f aca="false">IF(E58="FINALIZED",ROUND(F58+G58+H58+I58,0),0)</f>
        <v>0</v>
      </c>
    </row>
    <row r="59" customFormat="false" ht="15" hidden="false" customHeight="true" outlineLevel="0" collapsed="false">
      <c r="A59" s="1" t="s">
        <v>72</v>
      </c>
      <c r="B59" s="1" t="s">
        <v>68</v>
      </c>
      <c r="C59" s="1" t="n">
        <v>2026</v>
      </c>
      <c r="D59" s="1" t="n">
        <v>10</v>
      </c>
      <c r="K59" s="3" t="n">
        <f aca="false">IF(E59="FINALIZED",ROUND(F59+G59+H59+I59,0),0)</f>
        <v>0</v>
      </c>
      <c r="L59" s="3" t="n">
        <f aca="false">IF(E59="FINALIZED",ROUND(F59+G59+H59+I59,0),0)</f>
        <v>0</v>
      </c>
    </row>
    <row r="60" customFormat="false" ht="15" hidden="false" customHeight="true" outlineLevel="0" collapsed="false">
      <c r="A60" s="1" t="s">
        <v>72</v>
      </c>
      <c r="B60" s="1" t="s">
        <v>68</v>
      </c>
      <c r="C60" s="1" t="n">
        <v>2026</v>
      </c>
      <c r="D60" s="1" t="n">
        <v>11</v>
      </c>
      <c r="K60" s="3" t="n">
        <f aca="false">IF(E60="FINALIZED",ROUND(F60+G60+H60+I60,0),0)</f>
        <v>0</v>
      </c>
      <c r="L60" s="3" t="n">
        <f aca="false">IF(E60="FINALIZED",ROUND(F60+G60+H60+I60,0),0)</f>
        <v>0</v>
      </c>
    </row>
    <row r="61" customFormat="false" ht="15" hidden="false" customHeight="true" outlineLevel="0" collapsed="false">
      <c r="A61" s="1" t="s">
        <v>72</v>
      </c>
      <c r="B61" s="1" t="s">
        <v>68</v>
      </c>
      <c r="C61" s="1" t="n">
        <v>2026</v>
      </c>
      <c r="D61" s="1" t="n">
        <v>12</v>
      </c>
      <c r="K61" s="3" t="n">
        <f aca="false">IF(E61="FINALIZED",ROUND(F61+G61+H61+I61,0),0)</f>
        <v>0</v>
      </c>
      <c r="L61" s="3" t="n">
        <f aca="false">IF(E61="FINALIZED",ROUND(F61+G61+H61+I61,0),0)</f>
        <v>0</v>
      </c>
    </row>
    <row r="62" customFormat="false" ht="15" hidden="false" customHeight="true" outlineLevel="0" collapsed="false">
      <c r="A62" s="1" t="s">
        <v>73</v>
      </c>
      <c r="B62" s="1" t="s">
        <v>68</v>
      </c>
      <c r="C62" s="1" t="n">
        <v>2026</v>
      </c>
      <c r="D62" s="1" t="n">
        <v>1</v>
      </c>
      <c r="K62" s="3" t="n">
        <f aca="false">IF(E62="FINALIZED",ROUND(F62+G62+H62+I62,0),0)</f>
        <v>0</v>
      </c>
      <c r="L62" s="3" t="n">
        <f aca="false">IF(E62="FINALIZED",ROUND(F62+G62+H62+I62,0),0)</f>
        <v>0</v>
      </c>
    </row>
    <row r="63" customFormat="false" ht="15" hidden="false" customHeight="true" outlineLevel="0" collapsed="false">
      <c r="A63" s="1" t="s">
        <v>73</v>
      </c>
      <c r="B63" s="1" t="s">
        <v>68</v>
      </c>
      <c r="C63" s="1" t="n">
        <v>2026</v>
      </c>
      <c r="D63" s="1" t="n">
        <v>2</v>
      </c>
      <c r="K63" s="3" t="n">
        <f aca="false">IF(E63="FINALIZED",ROUND(F63+G63+H63+I63,0),0)</f>
        <v>0</v>
      </c>
      <c r="L63" s="3" t="n">
        <f aca="false">IF(E63="FINALIZED",ROUND(F63+G63+H63+I63,0),0)</f>
        <v>0</v>
      </c>
    </row>
    <row r="64" customFormat="false" ht="15" hidden="false" customHeight="true" outlineLevel="0" collapsed="false">
      <c r="A64" s="1" t="s">
        <v>73</v>
      </c>
      <c r="B64" s="1" t="s">
        <v>68</v>
      </c>
      <c r="C64" s="1" t="n">
        <v>2026</v>
      </c>
      <c r="D64" s="1" t="n">
        <v>3</v>
      </c>
      <c r="K64" s="3" t="n">
        <f aca="false">IF(E64="FINALIZED",ROUND(F64+G64+H64+I64,0),0)</f>
        <v>0</v>
      </c>
      <c r="L64" s="3" t="n">
        <f aca="false">IF(E64="FINALIZED",ROUND(F64+G64+H64+I64,0),0)</f>
        <v>0</v>
      </c>
    </row>
    <row r="65" customFormat="false" ht="15" hidden="false" customHeight="true" outlineLevel="0" collapsed="false">
      <c r="A65" s="1" t="s">
        <v>73</v>
      </c>
      <c r="B65" s="1" t="s">
        <v>68</v>
      </c>
      <c r="C65" s="1" t="n">
        <v>2026</v>
      </c>
      <c r="D65" s="1" t="n">
        <v>4</v>
      </c>
      <c r="K65" s="3" t="n">
        <f aca="false">IF(E65="FINALIZED",ROUND(F65+G65+H65+I65,0),0)</f>
        <v>0</v>
      </c>
      <c r="L65" s="3" t="n">
        <f aca="false">IF(E65="FINALIZED",ROUND(F65+G65+H65+I65,0),0)</f>
        <v>0</v>
      </c>
    </row>
    <row r="66" customFormat="false" ht="15" hidden="false" customHeight="true" outlineLevel="0" collapsed="false">
      <c r="A66" s="1" t="s">
        <v>73</v>
      </c>
      <c r="B66" s="1" t="s">
        <v>68</v>
      </c>
      <c r="C66" s="1" t="n">
        <v>2026</v>
      </c>
      <c r="D66" s="1" t="n">
        <v>5</v>
      </c>
      <c r="K66" s="3" t="n">
        <f aca="false">IF(E66="FINALIZED",ROUND(F66+G66+H66+I66,0),0)</f>
        <v>0</v>
      </c>
      <c r="L66" s="3" t="n">
        <f aca="false">IF(E66="FINALIZED",ROUND(F66+G66+H66+I66,0),0)</f>
        <v>0</v>
      </c>
    </row>
    <row r="67" customFormat="false" ht="15" hidden="false" customHeight="true" outlineLevel="0" collapsed="false">
      <c r="A67" s="1" t="s">
        <v>73</v>
      </c>
      <c r="B67" s="1" t="s">
        <v>68</v>
      </c>
      <c r="C67" s="1" t="n">
        <v>2026</v>
      </c>
      <c r="D67" s="1" t="n">
        <v>6</v>
      </c>
      <c r="K67" s="3" t="n">
        <f aca="false">IF(E67="FINALIZED",ROUND(F67+G67+H67+I67,0),0)</f>
        <v>0</v>
      </c>
      <c r="L67" s="3" t="n">
        <f aca="false">IF(E67="FINALIZED",ROUND(F67+G67+H67+I67,0),0)</f>
        <v>0</v>
      </c>
    </row>
    <row r="68" customFormat="false" ht="15" hidden="false" customHeight="true" outlineLevel="0" collapsed="false">
      <c r="A68" s="1" t="s">
        <v>73</v>
      </c>
      <c r="B68" s="1" t="s">
        <v>68</v>
      </c>
      <c r="C68" s="1" t="n">
        <v>2026</v>
      </c>
      <c r="D68" s="1" t="n">
        <v>7</v>
      </c>
      <c r="K68" s="3" t="n">
        <f aca="false">IF(E68="FINALIZED",ROUND(F68+G68+H68+I68,0),0)</f>
        <v>0</v>
      </c>
      <c r="L68" s="3" t="n">
        <f aca="false">IF(E68="FINALIZED",ROUND(F68+G68+H68+I68,0),0)</f>
        <v>0</v>
      </c>
    </row>
    <row r="69" customFormat="false" ht="15" hidden="false" customHeight="true" outlineLevel="0" collapsed="false">
      <c r="A69" s="1" t="s">
        <v>73</v>
      </c>
      <c r="B69" s="1" t="s">
        <v>68</v>
      </c>
      <c r="C69" s="1" t="n">
        <v>2026</v>
      </c>
      <c r="D69" s="1" t="n">
        <v>8</v>
      </c>
      <c r="K69" s="3" t="n">
        <f aca="false">IF(E69="FINALIZED",ROUND(F69+G69+H69+I69,0),0)</f>
        <v>0</v>
      </c>
      <c r="L69" s="3" t="n">
        <f aca="false">IF(E69="FINALIZED",ROUND(F69+G69+H69+I69,0),0)</f>
        <v>0</v>
      </c>
    </row>
    <row r="70" customFormat="false" ht="15" hidden="false" customHeight="true" outlineLevel="0" collapsed="false">
      <c r="A70" s="1" t="s">
        <v>73</v>
      </c>
      <c r="B70" s="1" t="s">
        <v>68</v>
      </c>
      <c r="C70" s="1" t="n">
        <v>2026</v>
      </c>
      <c r="D70" s="1" t="n">
        <v>9</v>
      </c>
      <c r="K70" s="3" t="n">
        <f aca="false">IF(E70="FINALIZED",ROUND(F70+G70+H70+I70,0),0)</f>
        <v>0</v>
      </c>
      <c r="L70" s="3" t="n">
        <f aca="false">IF(E70="FINALIZED",ROUND(F70+G70+H70+I70,0),0)</f>
        <v>0</v>
      </c>
    </row>
    <row r="71" customFormat="false" ht="15" hidden="false" customHeight="true" outlineLevel="0" collapsed="false">
      <c r="A71" s="1" t="s">
        <v>73</v>
      </c>
      <c r="B71" s="1" t="s">
        <v>68</v>
      </c>
      <c r="C71" s="1" t="n">
        <v>2026</v>
      </c>
      <c r="D71" s="1" t="n">
        <v>10</v>
      </c>
      <c r="K71" s="3" t="n">
        <f aca="false">IF(E71="FINALIZED",ROUND(F71+G71+H71+I71,0),0)</f>
        <v>0</v>
      </c>
      <c r="L71" s="3" t="n">
        <f aca="false">IF(E71="FINALIZED",ROUND(F71+G71+H71+I71,0),0)</f>
        <v>0</v>
      </c>
    </row>
    <row r="72" customFormat="false" ht="15" hidden="false" customHeight="true" outlineLevel="0" collapsed="false">
      <c r="A72" s="1" t="s">
        <v>73</v>
      </c>
      <c r="B72" s="1" t="s">
        <v>68</v>
      </c>
      <c r="C72" s="1" t="n">
        <v>2026</v>
      </c>
      <c r="D72" s="1" t="n">
        <v>11</v>
      </c>
      <c r="K72" s="3" t="n">
        <f aca="false">IF(E72="FINALIZED",ROUND(F72+G72+H72+I72,0),0)</f>
        <v>0</v>
      </c>
      <c r="L72" s="3" t="n">
        <f aca="false">IF(E72="FINALIZED",ROUND(F72+G72+H72+I72,0),0)</f>
        <v>0</v>
      </c>
    </row>
    <row r="73" customFormat="false" ht="15" hidden="false" customHeight="true" outlineLevel="0" collapsed="false">
      <c r="A73" s="1" t="s">
        <v>73</v>
      </c>
      <c r="B73" s="1" t="s">
        <v>68</v>
      </c>
      <c r="C73" s="1" t="n">
        <v>2026</v>
      </c>
      <c r="D73" s="1" t="n">
        <v>12</v>
      </c>
      <c r="K73" s="3" t="n">
        <f aca="false">IF(E73="FINALIZED",ROUND(F73+G73+H73+I73,0),0)</f>
        <v>0</v>
      </c>
      <c r="L73" s="3" t="n">
        <f aca="false">IF(E73="FINALIZED",ROUND(F73+G73+H73+I73,0),0)</f>
        <v>0</v>
      </c>
    </row>
    <row r="74" customFormat="false" ht="15" hidden="false" customHeight="true" outlineLevel="0" collapsed="false">
      <c r="A74" s="1" t="s">
        <v>74</v>
      </c>
      <c r="B74" s="1" t="s">
        <v>68</v>
      </c>
      <c r="C74" s="1" t="n">
        <v>2026</v>
      </c>
      <c r="D74" s="1" t="n">
        <v>1</v>
      </c>
      <c r="K74" s="3" t="n">
        <f aca="false">IF(E74="FINALIZED",ROUND(F74+G74+H74+I74,0),0)</f>
        <v>0</v>
      </c>
      <c r="L74" s="3" t="n">
        <f aca="false">IF(E74="FINALIZED",ROUND(F74+G74+H74+I74,0),0)</f>
        <v>0</v>
      </c>
    </row>
    <row r="75" customFormat="false" ht="15" hidden="false" customHeight="true" outlineLevel="0" collapsed="false">
      <c r="A75" s="1" t="s">
        <v>74</v>
      </c>
      <c r="B75" s="1" t="s">
        <v>68</v>
      </c>
      <c r="C75" s="1" t="n">
        <v>2026</v>
      </c>
      <c r="D75" s="1" t="n">
        <v>2</v>
      </c>
      <c r="K75" s="3" t="n">
        <f aca="false">IF(E75="FINALIZED",ROUND(F75+G75+H75+I75,0),0)</f>
        <v>0</v>
      </c>
      <c r="L75" s="3" t="n">
        <f aca="false">IF(E75="FINALIZED",ROUND(F75+G75+H75+I75,0),0)</f>
        <v>0</v>
      </c>
    </row>
    <row r="76" customFormat="false" ht="15" hidden="false" customHeight="true" outlineLevel="0" collapsed="false">
      <c r="A76" s="1" t="s">
        <v>74</v>
      </c>
      <c r="B76" s="1" t="s">
        <v>68</v>
      </c>
      <c r="C76" s="1" t="n">
        <v>2026</v>
      </c>
      <c r="D76" s="1" t="n">
        <v>3</v>
      </c>
      <c r="K76" s="3" t="n">
        <f aca="false">IF(E76="FINALIZED",ROUND(F76+G76+H76+I76,0),0)</f>
        <v>0</v>
      </c>
      <c r="L76" s="3" t="n">
        <f aca="false">IF(E76="FINALIZED",ROUND(F76+G76+H76+I76,0),0)</f>
        <v>0</v>
      </c>
    </row>
    <row r="77" customFormat="false" ht="15" hidden="false" customHeight="true" outlineLevel="0" collapsed="false">
      <c r="A77" s="1" t="s">
        <v>74</v>
      </c>
      <c r="B77" s="1" t="s">
        <v>68</v>
      </c>
      <c r="C77" s="1" t="n">
        <v>2026</v>
      </c>
      <c r="D77" s="1" t="n">
        <v>4</v>
      </c>
      <c r="K77" s="3" t="n">
        <f aca="false">IF(E77="FINALIZED",ROUND(F77+G77+H77+I77,0),0)</f>
        <v>0</v>
      </c>
      <c r="L77" s="3" t="n">
        <f aca="false">IF(E77="FINALIZED",ROUND(F77+G77+H77+I77,0),0)</f>
        <v>0</v>
      </c>
    </row>
    <row r="78" customFormat="false" ht="15" hidden="false" customHeight="true" outlineLevel="0" collapsed="false">
      <c r="A78" s="1" t="s">
        <v>74</v>
      </c>
      <c r="B78" s="1" t="s">
        <v>68</v>
      </c>
      <c r="C78" s="1" t="n">
        <v>2026</v>
      </c>
      <c r="D78" s="1" t="n">
        <v>5</v>
      </c>
      <c r="K78" s="3" t="n">
        <f aca="false">IF(E78="FINALIZED",ROUND(F78+G78+H78+I78,0),0)</f>
        <v>0</v>
      </c>
      <c r="L78" s="3" t="n">
        <f aca="false">IF(E78="FINALIZED",ROUND(F78+G78+H78+I78,0),0)</f>
        <v>0</v>
      </c>
    </row>
    <row r="79" customFormat="false" ht="15" hidden="false" customHeight="true" outlineLevel="0" collapsed="false">
      <c r="A79" s="1" t="s">
        <v>74</v>
      </c>
      <c r="B79" s="1" t="s">
        <v>68</v>
      </c>
      <c r="C79" s="1" t="n">
        <v>2026</v>
      </c>
      <c r="D79" s="1" t="n">
        <v>6</v>
      </c>
      <c r="K79" s="3" t="n">
        <f aca="false">IF(E79="FINALIZED",ROUND(F79+G79+H79+I79,0),0)</f>
        <v>0</v>
      </c>
      <c r="L79" s="3" t="n">
        <f aca="false">IF(E79="FINALIZED",ROUND(F79+G79+H79+I79,0),0)</f>
        <v>0</v>
      </c>
    </row>
    <row r="80" customFormat="false" ht="15" hidden="false" customHeight="true" outlineLevel="0" collapsed="false">
      <c r="A80" s="1" t="s">
        <v>74</v>
      </c>
      <c r="B80" s="1" t="s">
        <v>68</v>
      </c>
      <c r="C80" s="1" t="n">
        <v>2026</v>
      </c>
      <c r="D80" s="1" t="n">
        <v>7</v>
      </c>
      <c r="K80" s="3" t="n">
        <f aca="false">IF(E80="FINALIZED",ROUND(F80+G80+H80+I80,0),0)</f>
        <v>0</v>
      </c>
      <c r="L80" s="3" t="n">
        <f aca="false">IF(E80="FINALIZED",ROUND(F80+G80+H80+I80,0),0)</f>
        <v>0</v>
      </c>
    </row>
    <row r="81" customFormat="false" ht="15" hidden="false" customHeight="true" outlineLevel="0" collapsed="false">
      <c r="A81" s="1" t="s">
        <v>74</v>
      </c>
      <c r="B81" s="1" t="s">
        <v>68</v>
      </c>
      <c r="C81" s="1" t="n">
        <v>2026</v>
      </c>
      <c r="D81" s="1" t="n">
        <v>8</v>
      </c>
      <c r="K81" s="3" t="n">
        <f aca="false">IF(E81="FINALIZED",ROUND(F81+G81+H81+I81,0),0)</f>
        <v>0</v>
      </c>
      <c r="L81" s="3" t="n">
        <f aca="false">IF(E81="FINALIZED",ROUND(F81+G81+H81+I81,0),0)</f>
        <v>0</v>
      </c>
    </row>
    <row r="82" customFormat="false" ht="15" hidden="false" customHeight="true" outlineLevel="0" collapsed="false">
      <c r="A82" s="1" t="s">
        <v>74</v>
      </c>
      <c r="B82" s="1" t="s">
        <v>68</v>
      </c>
      <c r="C82" s="1" t="n">
        <v>2026</v>
      </c>
      <c r="D82" s="1" t="n">
        <v>9</v>
      </c>
      <c r="K82" s="3" t="n">
        <f aca="false">IF(E82="FINALIZED",ROUND(F82+G82+H82+I82,0),0)</f>
        <v>0</v>
      </c>
      <c r="L82" s="3" t="n">
        <f aca="false">IF(E82="FINALIZED",ROUND(F82+G82+H82+I82,0),0)</f>
        <v>0</v>
      </c>
    </row>
    <row r="83" customFormat="false" ht="15" hidden="false" customHeight="true" outlineLevel="0" collapsed="false">
      <c r="A83" s="1" t="s">
        <v>74</v>
      </c>
      <c r="B83" s="1" t="s">
        <v>68</v>
      </c>
      <c r="C83" s="1" t="n">
        <v>2026</v>
      </c>
      <c r="D83" s="1" t="n">
        <v>10</v>
      </c>
      <c r="K83" s="3" t="n">
        <f aca="false">IF(E83="FINALIZED",ROUND(F83+G83+H83+I83,0),0)</f>
        <v>0</v>
      </c>
      <c r="L83" s="3" t="n">
        <f aca="false">IF(E83="FINALIZED",ROUND(F83+G83+H83+I83,0),0)</f>
        <v>0</v>
      </c>
    </row>
    <row r="84" customFormat="false" ht="15" hidden="false" customHeight="true" outlineLevel="0" collapsed="false">
      <c r="A84" s="1" t="s">
        <v>74</v>
      </c>
      <c r="B84" s="1" t="s">
        <v>68</v>
      </c>
      <c r="C84" s="1" t="n">
        <v>2026</v>
      </c>
      <c r="D84" s="1" t="n">
        <v>11</v>
      </c>
      <c r="K84" s="3" t="n">
        <f aca="false">IF(E84="FINALIZED",ROUND(F84+G84+H84+I84,0),0)</f>
        <v>0</v>
      </c>
      <c r="L84" s="3" t="n">
        <f aca="false">IF(E84="FINALIZED",ROUND(F84+G84+H84+I84,0),0)</f>
        <v>0</v>
      </c>
    </row>
    <row r="85" customFormat="false" ht="15" hidden="false" customHeight="true" outlineLevel="0" collapsed="false">
      <c r="A85" s="1" t="s">
        <v>74</v>
      </c>
      <c r="B85" s="1" t="s">
        <v>68</v>
      </c>
      <c r="C85" s="1" t="n">
        <v>2026</v>
      </c>
      <c r="D85" s="1" t="n">
        <v>12</v>
      </c>
      <c r="K85" s="3" t="n">
        <f aca="false">IF(E85="FINALIZED",ROUND(F85+G85+H85+I85,0),0)</f>
        <v>0</v>
      </c>
      <c r="L85" s="3" t="n">
        <f aca="false">IF(E85="FINALIZED",ROUND(F85+G85+H85+I85,0),0)</f>
        <v>0</v>
      </c>
    </row>
    <row r="86" customFormat="false" ht="15" hidden="false" customHeight="true" outlineLevel="0" collapsed="false">
      <c r="A86" s="1" t="s">
        <v>75</v>
      </c>
      <c r="B86" s="1" t="s">
        <v>68</v>
      </c>
      <c r="C86" s="1" t="n">
        <v>2026</v>
      </c>
      <c r="D86" s="1" t="n">
        <v>1</v>
      </c>
      <c r="K86" s="3" t="n">
        <f aca="false">IF(E86="FINALIZED",ROUND(F86+G86+H86+I86,0),0)</f>
        <v>0</v>
      </c>
      <c r="L86" s="3" t="n">
        <f aca="false">IF(E86="FINALIZED",ROUND(F86+G86+H86+I86,0),0)</f>
        <v>0</v>
      </c>
    </row>
    <row r="87" customFormat="false" ht="15" hidden="false" customHeight="true" outlineLevel="0" collapsed="false">
      <c r="A87" s="1" t="s">
        <v>75</v>
      </c>
      <c r="B87" s="1" t="s">
        <v>68</v>
      </c>
      <c r="C87" s="1" t="n">
        <v>2026</v>
      </c>
      <c r="D87" s="1" t="n">
        <v>2</v>
      </c>
      <c r="K87" s="3" t="n">
        <f aca="false">IF(E87="FINALIZED",ROUND(F87+G87+H87+I87,0),0)</f>
        <v>0</v>
      </c>
      <c r="L87" s="3" t="n">
        <f aca="false">IF(E87="FINALIZED",ROUND(F87+G87+H87+I87,0),0)</f>
        <v>0</v>
      </c>
    </row>
    <row r="88" customFormat="false" ht="15" hidden="false" customHeight="true" outlineLevel="0" collapsed="false">
      <c r="A88" s="1" t="s">
        <v>75</v>
      </c>
      <c r="B88" s="1" t="s">
        <v>68</v>
      </c>
      <c r="C88" s="1" t="n">
        <v>2026</v>
      </c>
      <c r="D88" s="1" t="n">
        <v>3</v>
      </c>
      <c r="K88" s="3" t="n">
        <f aca="false">IF(E88="FINALIZED",ROUND(F88+G88+H88+I88,0),0)</f>
        <v>0</v>
      </c>
      <c r="L88" s="3" t="n">
        <f aca="false">IF(E88="FINALIZED",ROUND(F88+G88+H88+I88,0),0)</f>
        <v>0</v>
      </c>
    </row>
    <row r="89" customFormat="false" ht="15" hidden="false" customHeight="true" outlineLevel="0" collapsed="false">
      <c r="A89" s="1" t="s">
        <v>75</v>
      </c>
      <c r="B89" s="1" t="s">
        <v>68</v>
      </c>
      <c r="C89" s="1" t="n">
        <v>2026</v>
      </c>
      <c r="D89" s="1" t="n">
        <v>4</v>
      </c>
      <c r="K89" s="3" t="n">
        <f aca="false">IF(E89="FINALIZED",ROUND(F89+G89+H89+I89,0),0)</f>
        <v>0</v>
      </c>
      <c r="L89" s="3" t="n">
        <f aca="false">IF(E89="FINALIZED",ROUND(F89+G89+H89+I89,0),0)</f>
        <v>0</v>
      </c>
    </row>
    <row r="90" customFormat="false" ht="15" hidden="false" customHeight="true" outlineLevel="0" collapsed="false">
      <c r="A90" s="1" t="s">
        <v>75</v>
      </c>
      <c r="B90" s="1" t="s">
        <v>68</v>
      </c>
      <c r="C90" s="1" t="n">
        <v>2026</v>
      </c>
      <c r="D90" s="1" t="n">
        <v>5</v>
      </c>
      <c r="K90" s="3" t="n">
        <f aca="false">IF(E90="FINALIZED",ROUND(F90+G90+H90+I90,0),0)</f>
        <v>0</v>
      </c>
      <c r="L90" s="3" t="n">
        <f aca="false">IF(E90="FINALIZED",ROUND(F90+G90+H90+I90,0),0)</f>
        <v>0</v>
      </c>
    </row>
    <row r="91" customFormat="false" ht="15" hidden="false" customHeight="true" outlineLevel="0" collapsed="false">
      <c r="A91" s="1" t="s">
        <v>75</v>
      </c>
      <c r="B91" s="1" t="s">
        <v>68</v>
      </c>
      <c r="C91" s="1" t="n">
        <v>2026</v>
      </c>
      <c r="D91" s="1" t="n">
        <v>6</v>
      </c>
      <c r="K91" s="3" t="n">
        <f aca="false">IF(E91="FINALIZED",ROUND(F91+G91+H91+I91,0),0)</f>
        <v>0</v>
      </c>
      <c r="L91" s="3" t="n">
        <f aca="false">IF(E91="FINALIZED",ROUND(F91+G91+H91+I91,0),0)</f>
        <v>0</v>
      </c>
    </row>
    <row r="92" customFormat="false" ht="15" hidden="false" customHeight="true" outlineLevel="0" collapsed="false">
      <c r="A92" s="1" t="s">
        <v>75</v>
      </c>
      <c r="B92" s="1" t="s">
        <v>68</v>
      </c>
      <c r="C92" s="1" t="n">
        <v>2026</v>
      </c>
      <c r="D92" s="1" t="n">
        <v>7</v>
      </c>
      <c r="K92" s="3" t="n">
        <f aca="false">IF(E92="FINALIZED",ROUND(F92+G92+H92+I92,0),0)</f>
        <v>0</v>
      </c>
      <c r="L92" s="3" t="n">
        <f aca="false">IF(E92="FINALIZED",ROUND(F92+G92+H92+I92,0),0)</f>
        <v>0</v>
      </c>
    </row>
    <row r="93" customFormat="false" ht="15" hidden="false" customHeight="true" outlineLevel="0" collapsed="false">
      <c r="A93" s="1" t="s">
        <v>75</v>
      </c>
      <c r="B93" s="1" t="s">
        <v>68</v>
      </c>
      <c r="C93" s="1" t="n">
        <v>2026</v>
      </c>
      <c r="D93" s="1" t="n">
        <v>8</v>
      </c>
      <c r="K93" s="3" t="n">
        <f aca="false">IF(E93="FINALIZED",ROUND(F93+G93+H93+I93,0),0)</f>
        <v>0</v>
      </c>
      <c r="L93" s="3" t="n">
        <f aca="false">IF(E93="FINALIZED",ROUND(F93+G93+H93+I93,0),0)</f>
        <v>0</v>
      </c>
    </row>
    <row r="94" customFormat="false" ht="15" hidden="false" customHeight="true" outlineLevel="0" collapsed="false">
      <c r="A94" s="1" t="s">
        <v>75</v>
      </c>
      <c r="B94" s="1" t="s">
        <v>68</v>
      </c>
      <c r="C94" s="1" t="n">
        <v>2026</v>
      </c>
      <c r="D94" s="1" t="n">
        <v>9</v>
      </c>
      <c r="K94" s="3" t="n">
        <f aca="false">IF(E94="FINALIZED",ROUND(F94+G94+H94+I94,0),0)</f>
        <v>0</v>
      </c>
      <c r="L94" s="3" t="n">
        <f aca="false">IF(E94="FINALIZED",ROUND(F94+G94+H94+I94,0),0)</f>
        <v>0</v>
      </c>
    </row>
    <row r="95" customFormat="false" ht="15" hidden="false" customHeight="true" outlineLevel="0" collapsed="false">
      <c r="A95" s="1" t="s">
        <v>75</v>
      </c>
      <c r="B95" s="1" t="s">
        <v>68</v>
      </c>
      <c r="C95" s="1" t="n">
        <v>2026</v>
      </c>
      <c r="D95" s="1" t="n">
        <v>10</v>
      </c>
      <c r="K95" s="3" t="n">
        <f aca="false">IF(E95="FINALIZED",ROUND(F95+G95+H95+I95,0),0)</f>
        <v>0</v>
      </c>
      <c r="L95" s="3" t="n">
        <f aca="false">IF(E95="FINALIZED",ROUND(F95+G95+H95+I95,0),0)</f>
        <v>0</v>
      </c>
    </row>
    <row r="96" customFormat="false" ht="15" hidden="false" customHeight="true" outlineLevel="0" collapsed="false">
      <c r="A96" s="1" t="s">
        <v>75</v>
      </c>
      <c r="B96" s="1" t="s">
        <v>68</v>
      </c>
      <c r="C96" s="1" t="n">
        <v>2026</v>
      </c>
      <c r="D96" s="1" t="n">
        <v>11</v>
      </c>
      <c r="K96" s="3" t="n">
        <f aca="false">IF(E96="FINALIZED",ROUND(F96+G96+H96+I96,0),0)</f>
        <v>0</v>
      </c>
      <c r="L96" s="3" t="n">
        <f aca="false">IF(E96="FINALIZED",ROUND(F96+G96+H96+I96,0),0)</f>
        <v>0</v>
      </c>
    </row>
    <row r="97" customFormat="false" ht="15" hidden="false" customHeight="true" outlineLevel="0" collapsed="false">
      <c r="A97" s="1" t="s">
        <v>75</v>
      </c>
      <c r="B97" s="1" t="s">
        <v>68</v>
      </c>
      <c r="C97" s="1" t="n">
        <v>2026</v>
      </c>
      <c r="D97" s="1" t="n">
        <v>12</v>
      </c>
      <c r="K97" s="3" t="n">
        <f aca="false">IF(E97="FINALIZED",ROUND(F97+G97+H97+I97,0),0)</f>
        <v>0</v>
      </c>
      <c r="L97" s="3" t="n">
        <f aca="false">IF(E97="FINALIZED",ROUND(F97+G97+H97+I97,0),0)</f>
        <v>0</v>
      </c>
    </row>
    <row r="98" customFormat="false" ht="15" hidden="false" customHeight="true" outlineLevel="0" collapsed="false">
      <c r="A98" s="1" t="s">
        <v>76</v>
      </c>
      <c r="B98" s="1" t="s">
        <v>68</v>
      </c>
      <c r="C98" s="1" t="n">
        <v>2026</v>
      </c>
      <c r="D98" s="1" t="n">
        <v>1</v>
      </c>
      <c r="K98" s="3" t="n">
        <f aca="false">IF(E98="FINALIZED",ROUND(F98+G98+H98+I98,0),0)</f>
        <v>0</v>
      </c>
      <c r="L98" s="3" t="n">
        <f aca="false">IF(E98="FINALIZED",ROUND(F98+G98+H98+I98,0),0)</f>
        <v>0</v>
      </c>
    </row>
    <row r="99" customFormat="false" ht="15" hidden="false" customHeight="true" outlineLevel="0" collapsed="false">
      <c r="A99" s="1" t="s">
        <v>76</v>
      </c>
      <c r="B99" s="1" t="s">
        <v>68</v>
      </c>
      <c r="C99" s="1" t="n">
        <v>2026</v>
      </c>
      <c r="D99" s="1" t="n">
        <v>2</v>
      </c>
      <c r="K99" s="3" t="n">
        <f aca="false">IF(E99="FINALIZED",ROUND(F99+G99+H99+I99,0),0)</f>
        <v>0</v>
      </c>
      <c r="L99" s="3" t="n">
        <f aca="false">IF(E99="FINALIZED",ROUND(F99+G99+H99+I99,0),0)</f>
        <v>0</v>
      </c>
    </row>
    <row r="100" customFormat="false" ht="15" hidden="false" customHeight="true" outlineLevel="0" collapsed="false">
      <c r="A100" s="1" t="s">
        <v>76</v>
      </c>
      <c r="B100" s="1" t="s">
        <v>68</v>
      </c>
      <c r="C100" s="1" t="n">
        <v>2026</v>
      </c>
      <c r="D100" s="1" t="n">
        <v>3</v>
      </c>
      <c r="K100" s="3" t="n">
        <f aca="false">IF(E100="FINALIZED",ROUND(F100+G100+H100+I100,0),0)</f>
        <v>0</v>
      </c>
      <c r="L100" s="3" t="n">
        <f aca="false">IF(E100="FINALIZED",ROUND(F100+G100+H100+I100,0),0)</f>
        <v>0</v>
      </c>
    </row>
    <row r="101" customFormat="false" ht="15" hidden="false" customHeight="true" outlineLevel="0" collapsed="false">
      <c r="A101" s="1" t="s">
        <v>76</v>
      </c>
      <c r="B101" s="1" t="s">
        <v>68</v>
      </c>
      <c r="C101" s="1" t="n">
        <v>2026</v>
      </c>
      <c r="D101" s="1" t="n">
        <v>4</v>
      </c>
      <c r="K101" s="3" t="n">
        <f aca="false">IF(E101="FINALIZED",ROUND(F101+G101+H101+I101,0),0)</f>
        <v>0</v>
      </c>
      <c r="L101" s="3" t="n">
        <f aca="false">IF(E101="FINALIZED",ROUND(F101+G101+H101+I101,0),0)</f>
        <v>0</v>
      </c>
    </row>
    <row r="102" customFormat="false" ht="15" hidden="false" customHeight="true" outlineLevel="0" collapsed="false">
      <c r="A102" s="1" t="s">
        <v>76</v>
      </c>
      <c r="B102" s="1" t="s">
        <v>68</v>
      </c>
      <c r="C102" s="1" t="n">
        <v>2026</v>
      </c>
      <c r="D102" s="1" t="n">
        <v>5</v>
      </c>
      <c r="K102" s="3" t="n">
        <f aca="false">IF(E102="FINALIZED",ROUND(F102+G102+H102+I102,0),0)</f>
        <v>0</v>
      </c>
      <c r="L102" s="3" t="n">
        <f aca="false">IF(E102="FINALIZED",ROUND(F102+G102+H102+I102,0),0)</f>
        <v>0</v>
      </c>
    </row>
    <row r="103" customFormat="false" ht="15" hidden="false" customHeight="true" outlineLevel="0" collapsed="false">
      <c r="A103" s="1" t="s">
        <v>76</v>
      </c>
      <c r="B103" s="1" t="s">
        <v>68</v>
      </c>
      <c r="C103" s="1" t="n">
        <v>2026</v>
      </c>
      <c r="D103" s="1" t="n">
        <v>6</v>
      </c>
      <c r="K103" s="3" t="n">
        <f aca="false">IF(E103="FINALIZED",ROUND(F103+G103+H103+I103,0),0)</f>
        <v>0</v>
      </c>
      <c r="L103" s="3" t="n">
        <f aca="false">IF(E103="FINALIZED",ROUND(F103+G103+H103+I103,0),0)</f>
        <v>0</v>
      </c>
    </row>
    <row r="104" customFormat="false" ht="15" hidden="false" customHeight="true" outlineLevel="0" collapsed="false">
      <c r="A104" s="1" t="s">
        <v>76</v>
      </c>
      <c r="B104" s="1" t="s">
        <v>68</v>
      </c>
      <c r="C104" s="1" t="n">
        <v>2026</v>
      </c>
      <c r="D104" s="1" t="n">
        <v>7</v>
      </c>
      <c r="K104" s="3" t="n">
        <f aca="false">IF(E104="FINALIZED",ROUND(F104+G104+H104+I104,0),0)</f>
        <v>0</v>
      </c>
      <c r="L104" s="3" t="n">
        <f aca="false">IF(E104="FINALIZED",ROUND(F104+G104+H104+I104,0),0)</f>
        <v>0</v>
      </c>
    </row>
    <row r="105" customFormat="false" ht="15" hidden="false" customHeight="true" outlineLevel="0" collapsed="false">
      <c r="A105" s="1" t="s">
        <v>76</v>
      </c>
      <c r="B105" s="1" t="s">
        <v>68</v>
      </c>
      <c r="C105" s="1" t="n">
        <v>2026</v>
      </c>
      <c r="D105" s="1" t="n">
        <v>8</v>
      </c>
      <c r="K105" s="3" t="n">
        <f aca="false">IF(E105="FINALIZED",ROUND(F105+G105+H105+I105,0),0)</f>
        <v>0</v>
      </c>
      <c r="L105" s="3" t="n">
        <f aca="false">IF(E105="FINALIZED",ROUND(F105+G105+H105+I105,0),0)</f>
        <v>0</v>
      </c>
    </row>
    <row r="106" customFormat="false" ht="15" hidden="false" customHeight="true" outlineLevel="0" collapsed="false">
      <c r="A106" s="1" t="s">
        <v>76</v>
      </c>
      <c r="B106" s="1" t="s">
        <v>68</v>
      </c>
      <c r="C106" s="1" t="n">
        <v>2026</v>
      </c>
      <c r="D106" s="1" t="n">
        <v>9</v>
      </c>
      <c r="K106" s="3" t="n">
        <f aca="false">IF(E106="FINALIZED",ROUND(F106+G106+H106+I106,0),0)</f>
        <v>0</v>
      </c>
      <c r="L106" s="3" t="n">
        <f aca="false">IF(E106="FINALIZED",ROUND(F106+G106+H106+I106,0),0)</f>
        <v>0</v>
      </c>
    </row>
    <row r="107" customFormat="false" ht="15" hidden="false" customHeight="true" outlineLevel="0" collapsed="false">
      <c r="A107" s="1" t="s">
        <v>76</v>
      </c>
      <c r="B107" s="1" t="s">
        <v>68</v>
      </c>
      <c r="C107" s="1" t="n">
        <v>2026</v>
      </c>
      <c r="D107" s="1" t="n">
        <v>10</v>
      </c>
      <c r="K107" s="3" t="n">
        <f aca="false">IF(E107="FINALIZED",ROUND(F107+G107+H107+I107,0),0)</f>
        <v>0</v>
      </c>
      <c r="L107" s="3" t="n">
        <f aca="false">IF(E107="FINALIZED",ROUND(F107+G107+H107+I107,0),0)</f>
        <v>0</v>
      </c>
    </row>
    <row r="108" customFormat="false" ht="15" hidden="false" customHeight="true" outlineLevel="0" collapsed="false">
      <c r="A108" s="1" t="s">
        <v>76</v>
      </c>
      <c r="B108" s="1" t="s">
        <v>68</v>
      </c>
      <c r="C108" s="1" t="n">
        <v>2026</v>
      </c>
      <c r="D108" s="1" t="n">
        <v>11</v>
      </c>
      <c r="K108" s="3" t="n">
        <f aca="false">IF(E108="FINALIZED",ROUND(F108+G108+H108+I108,0),0)</f>
        <v>0</v>
      </c>
      <c r="L108" s="3" t="n">
        <f aca="false">IF(E108="FINALIZED",ROUND(F108+G108+H108+I108,0),0)</f>
        <v>0</v>
      </c>
    </row>
    <row r="109" customFormat="false" ht="15" hidden="false" customHeight="true" outlineLevel="0" collapsed="false">
      <c r="A109" s="1" t="s">
        <v>76</v>
      </c>
      <c r="B109" s="1" t="s">
        <v>68</v>
      </c>
      <c r="C109" s="1" t="n">
        <v>2026</v>
      </c>
      <c r="D109" s="1" t="n">
        <v>12</v>
      </c>
      <c r="K109" s="3" t="n">
        <f aca="false">IF(E109="FINALIZED",ROUND(F109+G109+H109+I109,0),0)</f>
        <v>0</v>
      </c>
      <c r="L109" s="3" t="n">
        <f aca="false">IF(E109="FINALIZED",ROUND(F109+G109+H109+I109,0),0)</f>
        <v>0</v>
      </c>
    </row>
    <row r="110" customFormat="false" ht="15" hidden="false" customHeight="true" outlineLevel="0" collapsed="false">
      <c r="A110" s="1" t="s">
        <v>77</v>
      </c>
      <c r="B110" s="1" t="s">
        <v>68</v>
      </c>
      <c r="C110" s="1" t="n">
        <v>2026</v>
      </c>
      <c r="D110" s="1" t="n">
        <v>1</v>
      </c>
      <c r="K110" s="3" t="n">
        <f aca="false">IF(E110="FINALIZED",ROUND(F110+G110+H110+I110,0),0)</f>
        <v>0</v>
      </c>
      <c r="L110" s="3" t="n">
        <f aca="false">IF(E110="FINALIZED",ROUND(F110+G110+H110+I110,0),0)</f>
        <v>0</v>
      </c>
    </row>
    <row r="111" customFormat="false" ht="15" hidden="false" customHeight="true" outlineLevel="0" collapsed="false">
      <c r="A111" s="1" t="s">
        <v>77</v>
      </c>
      <c r="B111" s="1" t="s">
        <v>68</v>
      </c>
      <c r="C111" s="1" t="n">
        <v>2026</v>
      </c>
      <c r="D111" s="1" t="n">
        <v>2</v>
      </c>
      <c r="K111" s="3" t="n">
        <f aca="false">IF(E111="FINALIZED",ROUND(F111+G111+H111+I111,0),0)</f>
        <v>0</v>
      </c>
      <c r="L111" s="3" t="n">
        <f aca="false">IF(E111="FINALIZED",ROUND(F111+G111+H111+I111,0),0)</f>
        <v>0</v>
      </c>
    </row>
    <row r="112" customFormat="false" ht="15" hidden="false" customHeight="true" outlineLevel="0" collapsed="false">
      <c r="A112" s="1" t="s">
        <v>77</v>
      </c>
      <c r="B112" s="1" t="s">
        <v>68</v>
      </c>
      <c r="C112" s="1" t="n">
        <v>2026</v>
      </c>
      <c r="D112" s="1" t="n">
        <v>3</v>
      </c>
      <c r="K112" s="3" t="n">
        <f aca="false">IF(E112="FINALIZED",ROUND(F112+G112+H112+I112,0),0)</f>
        <v>0</v>
      </c>
      <c r="L112" s="3" t="n">
        <f aca="false">IF(E112="FINALIZED",ROUND(F112+G112+H112+I112,0),0)</f>
        <v>0</v>
      </c>
    </row>
    <row r="113" customFormat="false" ht="15" hidden="false" customHeight="true" outlineLevel="0" collapsed="false">
      <c r="A113" s="1" t="s">
        <v>77</v>
      </c>
      <c r="B113" s="1" t="s">
        <v>68</v>
      </c>
      <c r="C113" s="1" t="n">
        <v>2026</v>
      </c>
      <c r="D113" s="1" t="n">
        <v>4</v>
      </c>
      <c r="K113" s="3" t="n">
        <f aca="false">IF(E113="FINALIZED",ROUND(F113+G113+H113+I113,0),0)</f>
        <v>0</v>
      </c>
      <c r="L113" s="3" t="n">
        <f aca="false">IF(E113="FINALIZED",ROUND(F113+G113+H113+I113,0),0)</f>
        <v>0</v>
      </c>
    </row>
    <row r="114" customFormat="false" ht="15" hidden="false" customHeight="true" outlineLevel="0" collapsed="false">
      <c r="A114" s="1" t="s">
        <v>77</v>
      </c>
      <c r="B114" s="1" t="s">
        <v>68</v>
      </c>
      <c r="C114" s="1" t="n">
        <v>2026</v>
      </c>
      <c r="D114" s="1" t="n">
        <v>5</v>
      </c>
      <c r="K114" s="3" t="n">
        <f aca="false">IF(E114="FINALIZED",ROUND(F114+G114+H114+I114,0),0)</f>
        <v>0</v>
      </c>
      <c r="L114" s="3" t="n">
        <f aca="false">IF(E114="FINALIZED",ROUND(F114+G114+H114+I114,0),0)</f>
        <v>0</v>
      </c>
    </row>
    <row r="115" customFormat="false" ht="15" hidden="false" customHeight="true" outlineLevel="0" collapsed="false">
      <c r="A115" s="1" t="s">
        <v>77</v>
      </c>
      <c r="B115" s="1" t="s">
        <v>68</v>
      </c>
      <c r="C115" s="1" t="n">
        <v>2026</v>
      </c>
      <c r="D115" s="1" t="n">
        <v>6</v>
      </c>
      <c r="K115" s="3" t="n">
        <f aca="false">IF(E115="FINALIZED",ROUND(F115+G115+H115+I115,0),0)</f>
        <v>0</v>
      </c>
      <c r="L115" s="3" t="n">
        <f aca="false">IF(E115="FINALIZED",ROUND(F115+G115+H115+I115,0),0)</f>
        <v>0</v>
      </c>
    </row>
    <row r="116" customFormat="false" ht="15" hidden="false" customHeight="true" outlineLevel="0" collapsed="false">
      <c r="A116" s="1" t="s">
        <v>77</v>
      </c>
      <c r="B116" s="1" t="s">
        <v>68</v>
      </c>
      <c r="C116" s="1" t="n">
        <v>2026</v>
      </c>
      <c r="D116" s="1" t="n">
        <v>7</v>
      </c>
      <c r="K116" s="3" t="n">
        <f aca="false">IF(E116="FINALIZED",ROUND(F116+G116+H116+I116,0),0)</f>
        <v>0</v>
      </c>
      <c r="L116" s="3" t="n">
        <f aca="false">IF(E116="FINALIZED",ROUND(F116+G116+H116+I116,0),0)</f>
        <v>0</v>
      </c>
    </row>
    <row r="117" customFormat="false" ht="15" hidden="false" customHeight="true" outlineLevel="0" collapsed="false">
      <c r="A117" s="1" t="s">
        <v>77</v>
      </c>
      <c r="B117" s="1" t="s">
        <v>68</v>
      </c>
      <c r="C117" s="1" t="n">
        <v>2026</v>
      </c>
      <c r="D117" s="1" t="n">
        <v>8</v>
      </c>
      <c r="K117" s="3" t="n">
        <f aca="false">IF(E117="FINALIZED",ROUND(F117+G117+H117+I117,0),0)</f>
        <v>0</v>
      </c>
      <c r="L117" s="3" t="n">
        <f aca="false">IF(E117="FINALIZED",ROUND(F117+G117+H117+I117,0),0)</f>
        <v>0</v>
      </c>
    </row>
    <row r="118" customFormat="false" ht="15" hidden="false" customHeight="true" outlineLevel="0" collapsed="false">
      <c r="A118" s="1" t="s">
        <v>77</v>
      </c>
      <c r="B118" s="1" t="s">
        <v>68</v>
      </c>
      <c r="C118" s="1" t="n">
        <v>2026</v>
      </c>
      <c r="D118" s="1" t="n">
        <v>9</v>
      </c>
      <c r="K118" s="3" t="n">
        <f aca="false">IF(E118="FINALIZED",ROUND(F118+G118+H118+I118,0),0)</f>
        <v>0</v>
      </c>
      <c r="L118" s="3" t="n">
        <f aca="false">IF(E118="FINALIZED",ROUND(F118+G118+H118+I118,0),0)</f>
        <v>0</v>
      </c>
    </row>
    <row r="119" customFormat="false" ht="15" hidden="false" customHeight="true" outlineLevel="0" collapsed="false">
      <c r="A119" s="1" t="s">
        <v>77</v>
      </c>
      <c r="B119" s="1" t="s">
        <v>68</v>
      </c>
      <c r="C119" s="1" t="n">
        <v>2026</v>
      </c>
      <c r="D119" s="1" t="n">
        <v>10</v>
      </c>
      <c r="K119" s="3" t="n">
        <f aca="false">IF(E119="FINALIZED",ROUND(F119+G119+H119+I119,0),0)</f>
        <v>0</v>
      </c>
      <c r="L119" s="3" t="n">
        <f aca="false">IF(E119="FINALIZED",ROUND(F119+G119+H119+I119,0),0)</f>
        <v>0</v>
      </c>
    </row>
    <row r="120" customFormat="false" ht="15" hidden="false" customHeight="true" outlineLevel="0" collapsed="false">
      <c r="A120" s="1" t="s">
        <v>77</v>
      </c>
      <c r="B120" s="1" t="s">
        <v>68</v>
      </c>
      <c r="C120" s="1" t="n">
        <v>2026</v>
      </c>
      <c r="D120" s="1" t="n">
        <v>11</v>
      </c>
      <c r="K120" s="3" t="n">
        <f aca="false">IF(E120="FINALIZED",ROUND(F120+G120+H120+I120,0),0)</f>
        <v>0</v>
      </c>
      <c r="L120" s="3" t="n">
        <f aca="false">IF(E120="FINALIZED",ROUND(F120+G120+H120+I120,0),0)</f>
        <v>0</v>
      </c>
    </row>
    <row r="121" customFormat="false" ht="15" hidden="false" customHeight="true" outlineLevel="0" collapsed="false">
      <c r="A121" s="1" t="s">
        <v>77</v>
      </c>
      <c r="B121" s="1" t="s">
        <v>68</v>
      </c>
      <c r="C121" s="1" t="n">
        <v>2026</v>
      </c>
      <c r="D121" s="1" t="n">
        <v>12</v>
      </c>
      <c r="K121" s="3" t="n">
        <f aca="false">IF(E121="FINALIZED",ROUND(F121+G121+H121+I121,0),0)</f>
        <v>0</v>
      </c>
      <c r="L121" s="3" t="n">
        <f aca="false">IF(E121="FINALIZED",ROUND(F121+G121+H121+I121,0),0)</f>
        <v>0</v>
      </c>
    </row>
    <row r="122" customFormat="false" ht="15" hidden="false" customHeight="true" outlineLevel="0" collapsed="false">
      <c r="A122" s="1" t="s">
        <v>78</v>
      </c>
      <c r="B122" s="1" t="s">
        <v>68</v>
      </c>
      <c r="C122" s="1" t="n">
        <v>2026</v>
      </c>
      <c r="D122" s="1" t="n">
        <v>1</v>
      </c>
      <c r="K122" s="3" t="n">
        <f aca="false">IF(E122="FINALIZED",ROUND(F122+G122+H122+I122,0),0)</f>
        <v>0</v>
      </c>
      <c r="L122" s="3" t="n">
        <f aca="false">IF(E122="FINALIZED",ROUND(F122+G122+H122+I122,0),0)</f>
        <v>0</v>
      </c>
    </row>
    <row r="123" customFormat="false" ht="15" hidden="false" customHeight="true" outlineLevel="0" collapsed="false">
      <c r="A123" s="1" t="s">
        <v>78</v>
      </c>
      <c r="B123" s="1" t="s">
        <v>68</v>
      </c>
      <c r="C123" s="1" t="n">
        <v>2026</v>
      </c>
      <c r="D123" s="1" t="n">
        <v>2</v>
      </c>
      <c r="K123" s="3" t="n">
        <f aca="false">IF(E123="FINALIZED",ROUND(F123+G123+H123+I123,0),0)</f>
        <v>0</v>
      </c>
      <c r="L123" s="3" t="n">
        <f aca="false">IF(E123="FINALIZED",ROUND(F123+G123+H123+I123,0),0)</f>
        <v>0</v>
      </c>
    </row>
    <row r="124" customFormat="false" ht="15" hidden="false" customHeight="true" outlineLevel="0" collapsed="false">
      <c r="A124" s="1" t="s">
        <v>78</v>
      </c>
      <c r="B124" s="1" t="s">
        <v>68</v>
      </c>
      <c r="C124" s="1" t="n">
        <v>2026</v>
      </c>
      <c r="D124" s="1" t="n">
        <v>3</v>
      </c>
      <c r="K124" s="3" t="n">
        <f aca="false">IF(E124="FINALIZED",ROUND(F124+G124+H124+I124,0),0)</f>
        <v>0</v>
      </c>
      <c r="L124" s="3" t="n">
        <f aca="false">IF(E124="FINALIZED",ROUND(F124+G124+H124+I124,0),0)</f>
        <v>0</v>
      </c>
    </row>
    <row r="125" customFormat="false" ht="15" hidden="false" customHeight="true" outlineLevel="0" collapsed="false">
      <c r="A125" s="1" t="s">
        <v>78</v>
      </c>
      <c r="B125" s="1" t="s">
        <v>68</v>
      </c>
      <c r="C125" s="1" t="n">
        <v>2026</v>
      </c>
      <c r="D125" s="1" t="n">
        <v>4</v>
      </c>
      <c r="K125" s="3" t="n">
        <f aca="false">IF(E125="FINALIZED",ROUND(F125+G125+H125+I125,0),0)</f>
        <v>0</v>
      </c>
      <c r="L125" s="3" t="n">
        <f aca="false">IF(E125="FINALIZED",ROUND(F125+G125+H125+I125,0),0)</f>
        <v>0</v>
      </c>
    </row>
    <row r="126" customFormat="false" ht="15" hidden="false" customHeight="true" outlineLevel="0" collapsed="false">
      <c r="A126" s="1" t="s">
        <v>78</v>
      </c>
      <c r="B126" s="1" t="s">
        <v>68</v>
      </c>
      <c r="C126" s="1" t="n">
        <v>2026</v>
      </c>
      <c r="D126" s="1" t="n">
        <v>5</v>
      </c>
      <c r="K126" s="3" t="n">
        <f aca="false">IF(E126="FINALIZED",ROUND(F126+G126+H126+I126,0),0)</f>
        <v>0</v>
      </c>
      <c r="L126" s="3" t="n">
        <f aca="false">IF(E126="FINALIZED",ROUND(F126+G126+H126+I126,0),0)</f>
        <v>0</v>
      </c>
    </row>
    <row r="127" customFormat="false" ht="15" hidden="false" customHeight="true" outlineLevel="0" collapsed="false">
      <c r="A127" s="1" t="s">
        <v>78</v>
      </c>
      <c r="B127" s="1" t="s">
        <v>68</v>
      </c>
      <c r="C127" s="1" t="n">
        <v>2026</v>
      </c>
      <c r="D127" s="1" t="n">
        <v>6</v>
      </c>
      <c r="K127" s="3" t="n">
        <f aca="false">IF(E127="FINALIZED",ROUND(F127+G127+H127+I127,0),0)</f>
        <v>0</v>
      </c>
      <c r="L127" s="3" t="n">
        <f aca="false">IF(E127="FINALIZED",ROUND(F127+G127+H127+I127,0),0)</f>
        <v>0</v>
      </c>
    </row>
    <row r="128" customFormat="false" ht="15" hidden="false" customHeight="true" outlineLevel="0" collapsed="false">
      <c r="A128" s="1" t="s">
        <v>78</v>
      </c>
      <c r="B128" s="1" t="s">
        <v>68</v>
      </c>
      <c r="C128" s="1" t="n">
        <v>2026</v>
      </c>
      <c r="D128" s="1" t="n">
        <v>7</v>
      </c>
      <c r="K128" s="3" t="n">
        <f aca="false">IF(E128="FINALIZED",ROUND(F128+G128+H128+I128,0),0)</f>
        <v>0</v>
      </c>
      <c r="L128" s="3" t="n">
        <f aca="false">IF(E128="FINALIZED",ROUND(F128+G128+H128+I128,0),0)</f>
        <v>0</v>
      </c>
    </row>
    <row r="129" customFormat="false" ht="15" hidden="false" customHeight="true" outlineLevel="0" collapsed="false">
      <c r="A129" s="1" t="s">
        <v>78</v>
      </c>
      <c r="B129" s="1" t="s">
        <v>68</v>
      </c>
      <c r="C129" s="1" t="n">
        <v>2026</v>
      </c>
      <c r="D129" s="1" t="n">
        <v>8</v>
      </c>
      <c r="K129" s="3" t="n">
        <f aca="false">IF(E129="FINALIZED",ROUND(F129+G129+H129+I129,0),0)</f>
        <v>0</v>
      </c>
      <c r="L129" s="3" t="n">
        <f aca="false">IF(E129="FINALIZED",ROUND(F129+G129+H129+I129,0),0)</f>
        <v>0</v>
      </c>
    </row>
    <row r="130" customFormat="false" ht="15" hidden="false" customHeight="true" outlineLevel="0" collapsed="false">
      <c r="A130" s="1" t="s">
        <v>78</v>
      </c>
      <c r="B130" s="1" t="s">
        <v>68</v>
      </c>
      <c r="C130" s="1" t="n">
        <v>2026</v>
      </c>
      <c r="D130" s="1" t="n">
        <v>9</v>
      </c>
      <c r="K130" s="3" t="n">
        <f aca="false">IF(E130="FINALIZED",ROUND(F130+G130+H130+I130,0),0)</f>
        <v>0</v>
      </c>
      <c r="L130" s="3" t="n">
        <f aca="false">IF(E130="FINALIZED",ROUND(F130+G130+H130+I130,0),0)</f>
        <v>0</v>
      </c>
    </row>
    <row r="131" customFormat="false" ht="15" hidden="false" customHeight="true" outlineLevel="0" collapsed="false">
      <c r="A131" s="1" t="s">
        <v>78</v>
      </c>
      <c r="B131" s="1" t="s">
        <v>68</v>
      </c>
      <c r="C131" s="1" t="n">
        <v>2026</v>
      </c>
      <c r="D131" s="1" t="n">
        <v>10</v>
      </c>
      <c r="K131" s="3" t="n">
        <f aca="false">IF(E131="FINALIZED",ROUND(F131+G131+H131+I131,0),0)</f>
        <v>0</v>
      </c>
      <c r="L131" s="3" t="n">
        <f aca="false">IF(E131="FINALIZED",ROUND(F131+G131+H131+I131,0),0)</f>
        <v>0</v>
      </c>
    </row>
    <row r="132" customFormat="false" ht="15" hidden="false" customHeight="true" outlineLevel="0" collapsed="false">
      <c r="A132" s="1" t="s">
        <v>78</v>
      </c>
      <c r="B132" s="1" t="s">
        <v>68</v>
      </c>
      <c r="C132" s="1" t="n">
        <v>2026</v>
      </c>
      <c r="D132" s="1" t="n">
        <v>11</v>
      </c>
      <c r="K132" s="3" t="n">
        <f aca="false">IF(E132="FINALIZED",ROUND(F132+G132+H132+I132,0),0)</f>
        <v>0</v>
      </c>
      <c r="L132" s="3" t="n">
        <f aca="false">IF(E132="FINALIZED",ROUND(F132+G132+H132+I132,0),0)</f>
        <v>0</v>
      </c>
    </row>
    <row r="133" customFormat="false" ht="15" hidden="false" customHeight="true" outlineLevel="0" collapsed="false">
      <c r="A133" s="1" t="s">
        <v>78</v>
      </c>
      <c r="B133" s="1" t="s">
        <v>68</v>
      </c>
      <c r="C133" s="1" t="n">
        <v>2026</v>
      </c>
      <c r="D133" s="1" t="n">
        <v>12</v>
      </c>
      <c r="K133" s="3" t="n">
        <f aca="false">IF(E133="FINALIZED",ROUND(F133+G133+H133+I133,0),0)</f>
        <v>0</v>
      </c>
      <c r="L133" s="3" t="n">
        <f aca="false">IF(E133="FINALIZED",ROUND(F133+G133+H133+I133,0),0)</f>
        <v>0</v>
      </c>
    </row>
    <row r="134" customFormat="false" ht="15" hidden="false" customHeight="true" outlineLevel="0" collapsed="false">
      <c r="A134" s="1" t="s">
        <v>79</v>
      </c>
      <c r="B134" s="1" t="s">
        <v>68</v>
      </c>
      <c r="C134" s="1" t="n">
        <v>2026</v>
      </c>
      <c r="D134" s="1" t="n">
        <v>1</v>
      </c>
      <c r="K134" s="3" t="n">
        <f aca="false">IF(E134="FINALIZED",ROUND(F134+G134+H134+I134,0),0)</f>
        <v>0</v>
      </c>
      <c r="L134" s="3" t="n">
        <f aca="false">IF(E134="FINALIZED",ROUND(F134+G134+H134+I134,0),0)</f>
        <v>0</v>
      </c>
    </row>
    <row r="135" customFormat="false" ht="15" hidden="false" customHeight="true" outlineLevel="0" collapsed="false">
      <c r="A135" s="1" t="s">
        <v>79</v>
      </c>
      <c r="B135" s="1" t="s">
        <v>68</v>
      </c>
      <c r="C135" s="1" t="n">
        <v>2026</v>
      </c>
      <c r="D135" s="1" t="n">
        <v>2</v>
      </c>
      <c r="K135" s="3" t="n">
        <f aca="false">IF(E135="FINALIZED",ROUND(F135+G135+H135+I135,0),0)</f>
        <v>0</v>
      </c>
      <c r="L135" s="3" t="n">
        <f aca="false">IF(E135="FINALIZED",ROUND(F135+G135+H135+I135,0),0)</f>
        <v>0</v>
      </c>
    </row>
    <row r="136" customFormat="false" ht="15" hidden="false" customHeight="true" outlineLevel="0" collapsed="false">
      <c r="A136" s="1" t="s">
        <v>79</v>
      </c>
      <c r="B136" s="1" t="s">
        <v>68</v>
      </c>
      <c r="C136" s="1" t="n">
        <v>2026</v>
      </c>
      <c r="D136" s="1" t="n">
        <v>3</v>
      </c>
      <c r="K136" s="3" t="n">
        <f aca="false">IF(E136="FINALIZED",ROUND(F136+G136+H136+I136,0),0)</f>
        <v>0</v>
      </c>
      <c r="L136" s="3" t="n">
        <f aca="false">IF(E136="FINALIZED",ROUND(F136+G136+H136+I136,0),0)</f>
        <v>0</v>
      </c>
    </row>
    <row r="137" customFormat="false" ht="15" hidden="false" customHeight="true" outlineLevel="0" collapsed="false">
      <c r="A137" s="1" t="s">
        <v>79</v>
      </c>
      <c r="B137" s="1" t="s">
        <v>68</v>
      </c>
      <c r="C137" s="1" t="n">
        <v>2026</v>
      </c>
      <c r="D137" s="1" t="n">
        <v>4</v>
      </c>
      <c r="K137" s="3" t="n">
        <f aca="false">IF(E137="FINALIZED",ROUND(F137+G137+H137+I137,0),0)</f>
        <v>0</v>
      </c>
      <c r="L137" s="3" t="n">
        <f aca="false">IF(E137="FINALIZED",ROUND(F137+G137+H137+I137,0),0)</f>
        <v>0</v>
      </c>
    </row>
    <row r="138" customFormat="false" ht="15" hidden="false" customHeight="true" outlineLevel="0" collapsed="false">
      <c r="A138" s="1" t="s">
        <v>79</v>
      </c>
      <c r="B138" s="1" t="s">
        <v>68</v>
      </c>
      <c r="C138" s="1" t="n">
        <v>2026</v>
      </c>
      <c r="D138" s="1" t="n">
        <v>5</v>
      </c>
      <c r="K138" s="3" t="n">
        <f aca="false">IF(E138="FINALIZED",ROUND(F138+G138+H138+I138,0),0)</f>
        <v>0</v>
      </c>
      <c r="L138" s="3" t="n">
        <f aca="false">IF(E138="FINALIZED",ROUND(F138+G138+H138+I138,0),0)</f>
        <v>0</v>
      </c>
    </row>
    <row r="139" customFormat="false" ht="15" hidden="false" customHeight="true" outlineLevel="0" collapsed="false">
      <c r="A139" s="1" t="s">
        <v>79</v>
      </c>
      <c r="B139" s="1" t="s">
        <v>68</v>
      </c>
      <c r="C139" s="1" t="n">
        <v>2026</v>
      </c>
      <c r="D139" s="1" t="n">
        <v>6</v>
      </c>
      <c r="K139" s="3" t="n">
        <f aca="false">IF(E139="FINALIZED",ROUND(F139+G139+H139+I139,0),0)</f>
        <v>0</v>
      </c>
      <c r="L139" s="3" t="n">
        <f aca="false">IF(E139="FINALIZED",ROUND(F139+G139+H139+I139,0),0)</f>
        <v>0</v>
      </c>
    </row>
    <row r="140" customFormat="false" ht="15" hidden="false" customHeight="true" outlineLevel="0" collapsed="false">
      <c r="A140" s="1" t="s">
        <v>79</v>
      </c>
      <c r="B140" s="1" t="s">
        <v>68</v>
      </c>
      <c r="C140" s="1" t="n">
        <v>2026</v>
      </c>
      <c r="D140" s="1" t="n">
        <v>7</v>
      </c>
      <c r="K140" s="3" t="n">
        <f aca="false">IF(E140="FINALIZED",ROUND(F140+G140+H140+I140,0),0)</f>
        <v>0</v>
      </c>
      <c r="L140" s="3" t="n">
        <f aca="false">IF(E140="FINALIZED",ROUND(F140+G140+H140+I140,0),0)</f>
        <v>0</v>
      </c>
    </row>
    <row r="141" customFormat="false" ht="15" hidden="false" customHeight="true" outlineLevel="0" collapsed="false">
      <c r="A141" s="1" t="s">
        <v>79</v>
      </c>
      <c r="B141" s="1" t="s">
        <v>68</v>
      </c>
      <c r="C141" s="1" t="n">
        <v>2026</v>
      </c>
      <c r="D141" s="1" t="n">
        <v>8</v>
      </c>
      <c r="K141" s="3" t="n">
        <f aca="false">IF(E141="FINALIZED",ROUND(F141+G141+H141+I141,0),0)</f>
        <v>0</v>
      </c>
      <c r="L141" s="3" t="n">
        <f aca="false">IF(E141="FINALIZED",ROUND(F141+G141+H141+I141,0),0)</f>
        <v>0</v>
      </c>
    </row>
    <row r="142" customFormat="false" ht="15" hidden="false" customHeight="true" outlineLevel="0" collapsed="false">
      <c r="A142" s="1" t="s">
        <v>79</v>
      </c>
      <c r="B142" s="1" t="s">
        <v>68</v>
      </c>
      <c r="C142" s="1" t="n">
        <v>2026</v>
      </c>
      <c r="D142" s="1" t="n">
        <v>9</v>
      </c>
      <c r="K142" s="3" t="n">
        <f aca="false">IF(E142="FINALIZED",ROUND(F142+G142+H142+I142,0),0)</f>
        <v>0</v>
      </c>
      <c r="L142" s="3" t="n">
        <f aca="false">IF(E142="FINALIZED",ROUND(F142+G142+H142+I142,0),0)</f>
        <v>0</v>
      </c>
    </row>
    <row r="143" customFormat="false" ht="15" hidden="false" customHeight="true" outlineLevel="0" collapsed="false">
      <c r="A143" s="1" t="s">
        <v>79</v>
      </c>
      <c r="B143" s="1" t="s">
        <v>68</v>
      </c>
      <c r="C143" s="1" t="n">
        <v>2026</v>
      </c>
      <c r="D143" s="1" t="n">
        <v>10</v>
      </c>
      <c r="K143" s="3" t="n">
        <f aca="false">IF(E143="FINALIZED",ROUND(F143+G143+H143+I143,0),0)</f>
        <v>0</v>
      </c>
      <c r="L143" s="3" t="n">
        <f aca="false">IF(E143="FINALIZED",ROUND(F143+G143+H143+I143,0),0)</f>
        <v>0</v>
      </c>
    </row>
    <row r="144" customFormat="false" ht="15" hidden="false" customHeight="true" outlineLevel="0" collapsed="false">
      <c r="A144" s="1" t="s">
        <v>79</v>
      </c>
      <c r="B144" s="1" t="s">
        <v>68</v>
      </c>
      <c r="C144" s="1" t="n">
        <v>2026</v>
      </c>
      <c r="D144" s="1" t="n">
        <v>11</v>
      </c>
      <c r="K144" s="3" t="n">
        <f aca="false">IF(E144="FINALIZED",ROUND(F144+G144+H144+I144,0),0)</f>
        <v>0</v>
      </c>
      <c r="L144" s="3" t="n">
        <f aca="false">IF(E144="FINALIZED",ROUND(F144+G144+H144+I144,0),0)</f>
        <v>0</v>
      </c>
    </row>
    <row r="145" customFormat="false" ht="15" hidden="false" customHeight="true" outlineLevel="0" collapsed="false">
      <c r="A145" s="1" t="s">
        <v>79</v>
      </c>
      <c r="B145" s="1" t="s">
        <v>68</v>
      </c>
      <c r="C145" s="1" t="n">
        <v>2026</v>
      </c>
      <c r="D145" s="1" t="n">
        <v>12</v>
      </c>
      <c r="K145" s="3" t="n">
        <f aca="false">IF(E145="FINALIZED",ROUND(F145+G145+H145+I145,0),0)</f>
        <v>0</v>
      </c>
      <c r="L145" s="3" t="n">
        <f aca="false">IF(E145="FINALIZED",ROUND(F145+G145+H145+I145,0),0)</f>
        <v>0</v>
      </c>
    </row>
    <row r="146" customFormat="false" ht="15" hidden="false" customHeight="true" outlineLevel="0" collapsed="false">
      <c r="A146" s="1" t="s">
        <v>80</v>
      </c>
      <c r="B146" s="1" t="s">
        <v>68</v>
      </c>
      <c r="C146" s="1" t="n">
        <v>2026</v>
      </c>
      <c r="D146" s="1" t="n">
        <v>1</v>
      </c>
      <c r="K146" s="3" t="n">
        <f aca="false">IF(E146="FINALIZED",ROUND(F146+G146+H146+I146,0),0)</f>
        <v>0</v>
      </c>
      <c r="L146" s="3" t="n">
        <f aca="false">IF(E146="FINALIZED",ROUND(F146+G146+H146+I146,0),0)</f>
        <v>0</v>
      </c>
    </row>
    <row r="147" customFormat="false" ht="15" hidden="false" customHeight="true" outlineLevel="0" collapsed="false">
      <c r="A147" s="1" t="s">
        <v>80</v>
      </c>
      <c r="B147" s="1" t="s">
        <v>68</v>
      </c>
      <c r="C147" s="1" t="n">
        <v>2026</v>
      </c>
      <c r="D147" s="1" t="n">
        <v>2</v>
      </c>
      <c r="K147" s="3" t="n">
        <f aca="false">IF(E147="FINALIZED",ROUND(F147+G147+H147+I147,0),0)</f>
        <v>0</v>
      </c>
      <c r="L147" s="3" t="n">
        <f aca="false">IF(E147="FINALIZED",ROUND(F147+G147+H147+I147,0),0)</f>
        <v>0</v>
      </c>
    </row>
    <row r="148" customFormat="false" ht="15" hidden="false" customHeight="true" outlineLevel="0" collapsed="false">
      <c r="A148" s="1" t="s">
        <v>80</v>
      </c>
      <c r="B148" s="1" t="s">
        <v>68</v>
      </c>
      <c r="C148" s="1" t="n">
        <v>2026</v>
      </c>
      <c r="D148" s="1" t="n">
        <v>3</v>
      </c>
      <c r="K148" s="3" t="n">
        <f aca="false">IF(E148="FINALIZED",ROUND(F148+G148+H148+I148,0),0)</f>
        <v>0</v>
      </c>
      <c r="L148" s="3" t="n">
        <f aca="false">IF(E148="FINALIZED",ROUND(F148+G148+H148+I148,0),0)</f>
        <v>0</v>
      </c>
    </row>
    <row r="149" customFormat="false" ht="15" hidden="false" customHeight="true" outlineLevel="0" collapsed="false">
      <c r="A149" s="1" t="s">
        <v>80</v>
      </c>
      <c r="B149" s="1" t="s">
        <v>68</v>
      </c>
      <c r="C149" s="1" t="n">
        <v>2026</v>
      </c>
      <c r="D149" s="1" t="n">
        <v>4</v>
      </c>
      <c r="K149" s="3" t="n">
        <f aca="false">IF(E149="FINALIZED",ROUND(F149+G149+H149+I149,0),0)</f>
        <v>0</v>
      </c>
      <c r="L149" s="3" t="n">
        <f aca="false">IF(E149="FINALIZED",ROUND(F149+G149+H149+I149,0),0)</f>
        <v>0</v>
      </c>
    </row>
    <row r="150" customFormat="false" ht="15" hidden="false" customHeight="true" outlineLevel="0" collapsed="false">
      <c r="A150" s="1" t="s">
        <v>80</v>
      </c>
      <c r="B150" s="1" t="s">
        <v>68</v>
      </c>
      <c r="C150" s="1" t="n">
        <v>2026</v>
      </c>
      <c r="D150" s="1" t="n">
        <v>5</v>
      </c>
      <c r="K150" s="3" t="n">
        <f aca="false">IF(E150="FINALIZED",ROUND(F150+G150+H150+I150,0),0)</f>
        <v>0</v>
      </c>
      <c r="L150" s="3" t="n">
        <f aca="false">IF(E150="FINALIZED",ROUND(F150+G150+H150+I150,0),0)</f>
        <v>0</v>
      </c>
    </row>
    <row r="151" customFormat="false" ht="15" hidden="false" customHeight="true" outlineLevel="0" collapsed="false">
      <c r="A151" s="1" t="s">
        <v>80</v>
      </c>
      <c r="B151" s="1" t="s">
        <v>68</v>
      </c>
      <c r="C151" s="1" t="n">
        <v>2026</v>
      </c>
      <c r="D151" s="1" t="n">
        <v>6</v>
      </c>
      <c r="K151" s="3" t="n">
        <f aca="false">IF(E151="FINALIZED",ROUND(F151+G151+H151+I151,0),0)</f>
        <v>0</v>
      </c>
      <c r="L151" s="3" t="n">
        <f aca="false">IF(E151="FINALIZED",ROUND(F151+G151+H151+I151,0),0)</f>
        <v>0</v>
      </c>
    </row>
    <row r="152" customFormat="false" ht="15" hidden="false" customHeight="true" outlineLevel="0" collapsed="false">
      <c r="A152" s="1" t="s">
        <v>80</v>
      </c>
      <c r="B152" s="1" t="s">
        <v>68</v>
      </c>
      <c r="C152" s="1" t="n">
        <v>2026</v>
      </c>
      <c r="D152" s="1" t="n">
        <v>7</v>
      </c>
      <c r="K152" s="3" t="n">
        <f aca="false">IF(E152="FINALIZED",ROUND(F152+G152+H152+I152,0),0)</f>
        <v>0</v>
      </c>
      <c r="L152" s="3" t="n">
        <f aca="false">IF(E152="FINALIZED",ROUND(F152+G152+H152+I152,0),0)</f>
        <v>0</v>
      </c>
    </row>
    <row r="153" customFormat="false" ht="15" hidden="false" customHeight="true" outlineLevel="0" collapsed="false">
      <c r="A153" s="1" t="s">
        <v>80</v>
      </c>
      <c r="B153" s="1" t="s">
        <v>68</v>
      </c>
      <c r="C153" s="1" t="n">
        <v>2026</v>
      </c>
      <c r="D153" s="1" t="n">
        <v>8</v>
      </c>
      <c r="K153" s="3" t="n">
        <f aca="false">IF(E153="FINALIZED",ROUND(F153+G153+H153+I153,0),0)</f>
        <v>0</v>
      </c>
      <c r="L153" s="3" t="n">
        <f aca="false">IF(E153="FINALIZED",ROUND(F153+G153+H153+I153,0),0)</f>
        <v>0</v>
      </c>
    </row>
    <row r="154" customFormat="false" ht="15" hidden="false" customHeight="true" outlineLevel="0" collapsed="false">
      <c r="A154" s="1" t="s">
        <v>80</v>
      </c>
      <c r="B154" s="1" t="s">
        <v>68</v>
      </c>
      <c r="C154" s="1" t="n">
        <v>2026</v>
      </c>
      <c r="D154" s="1" t="n">
        <v>9</v>
      </c>
      <c r="K154" s="3" t="n">
        <f aca="false">IF(E154="FINALIZED",ROUND(F154+G154+H154+I154,0),0)</f>
        <v>0</v>
      </c>
      <c r="L154" s="3" t="n">
        <f aca="false">IF(E154="FINALIZED",ROUND(F154+G154+H154+I154,0),0)</f>
        <v>0</v>
      </c>
    </row>
    <row r="155" customFormat="false" ht="15" hidden="false" customHeight="true" outlineLevel="0" collapsed="false">
      <c r="A155" s="1" t="s">
        <v>80</v>
      </c>
      <c r="B155" s="1" t="s">
        <v>68</v>
      </c>
      <c r="C155" s="1" t="n">
        <v>2026</v>
      </c>
      <c r="D155" s="1" t="n">
        <v>10</v>
      </c>
      <c r="K155" s="3" t="n">
        <f aca="false">IF(E155="FINALIZED",ROUND(F155+G155+H155+I155,0),0)</f>
        <v>0</v>
      </c>
      <c r="L155" s="3" t="n">
        <f aca="false">IF(E155="FINALIZED",ROUND(F155+G155+H155+I155,0),0)</f>
        <v>0</v>
      </c>
    </row>
    <row r="156" customFormat="false" ht="15" hidden="false" customHeight="true" outlineLevel="0" collapsed="false">
      <c r="A156" s="1" t="s">
        <v>80</v>
      </c>
      <c r="B156" s="1" t="s">
        <v>68</v>
      </c>
      <c r="C156" s="1" t="n">
        <v>2026</v>
      </c>
      <c r="D156" s="1" t="n">
        <v>11</v>
      </c>
      <c r="K156" s="3" t="n">
        <f aca="false">IF(E156="FINALIZED",ROUND(F156+G156+H156+I156,0),0)</f>
        <v>0</v>
      </c>
      <c r="L156" s="3" t="n">
        <f aca="false">IF(E156="FINALIZED",ROUND(F156+G156+H156+I156,0),0)</f>
        <v>0</v>
      </c>
    </row>
    <row r="157" customFormat="false" ht="15" hidden="false" customHeight="true" outlineLevel="0" collapsed="false">
      <c r="A157" s="1" t="s">
        <v>80</v>
      </c>
      <c r="B157" s="1" t="s">
        <v>68</v>
      </c>
      <c r="C157" s="1" t="n">
        <v>2026</v>
      </c>
      <c r="D157" s="1" t="n">
        <v>12</v>
      </c>
      <c r="K157" s="3" t="n">
        <f aca="false">IF(E157="FINALIZED",ROUND(F157+G157+H157+I157,0),0)</f>
        <v>0</v>
      </c>
      <c r="L157" s="3" t="n">
        <f aca="false">IF(E157="FINALIZED",ROUND(F157+G157+H157+I157,0),0)</f>
        <v>0</v>
      </c>
    </row>
    <row r="158" customFormat="false" ht="15" hidden="false" customHeight="true" outlineLevel="0" collapsed="false">
      <c r="A158" s="1" t="s">
        <v>81</v>
      </c>
      <c r="B158" s="1" t="s">
        <v>68</v>
      </c>
      <c r="C158" s="1" t="n">
        <v>2026</v>
      </c>
      <c r="D158" s="1" t="n">
        <v>1</v>
      </c>
      <c r="K158" s="3" t="n">
        <f aca="false">IF(E158="FINALIZED",ROUND(F158+G158+H158+I158,0),0)</f>
        <v>0</v>
      </c>
      <c r="L158" s="3" t="n">
        <f aca="false">IF(E158="FINALIZED",ROUND(F158+G158+H158+I158,0),0)</f>
        <v>0</v>
      </c>
    </row>
    <row r="159" customFormat="false" ht="15" hidden="false" customHeight="true" outlineLevel="0" collapsed="false">
      <c r="A159" s="1" t="s">
        <v>81</v>
      </c>
      <c r="B159" s="1" t="s">
        <v>68</v>
      </c>
      <c r="C159" s="1" t="n">
        <v>2026</v>
      </c>
      <c r="D159" s="1" t="n">
        <v>2</v>
      </c>
      <c r="K159" s="3" t="n">
        <f aca="false">IF(E159="FINALIZED",ROUND(F159+G159+H159+I159,0),0)</f>
        <v>0</v>
      </c>
      <c r="L159" s="3" t="n">
        <f aca="false">IF(E159="FINALIZED",ROUND(F159+G159+H159+I159,0),0)</f>
        <v>0</v>
      </c>
    </row>
    <row r="160" customFormat="false" ht="15" hidden="false" customHeight="true" outlineLevel="0" collapsed="false">
      <c r="A160" s="1" t="s">
        <v>81</v>
      </c>
      <c r="B160" s="1" t="s">
        <v>68</v>
      </c>
      <c r="C160" s="1" t="n">
        <v>2026</v>
      </c>
      <c r="D160" s="1" t="n">
        <v>3</v>
      </c>
      <c r="K160" s="3" t="n">
        <f aca="false">IF(E160="FINALIZED",ROUND(F160+G160+H160+I160,0),0)</f>
        <v>0</v>
      </c>
      <c r="L160" s="3" t="n">
        <f aca="false">IF(E160="FINALIZED",ROUND(F160+G160+H160+I160,0),0)</f>
        <v>0</v>
      </c>
    </row>
    <row r="161" customFormat="false" ht="15" hidden="false" customHeight="true" outlineLevel="0" collapsed="false">
      <c r="A161" s="1" t="s">
        <v>81</v>
      </c>
      <c r="B161" s="1" t="s">
        <v>68</v>
      </c>
      <c r="C161" s="1" t="n">
        <v>2026</v>
      </c>
      <c r="D161" s="1" t="n">
        <v>4</v>
      </c>
      <c r="K161" s="3" t="n">
        <f aca="false">IF(E161="FINALIZED",ROUND(F161+G161+H161+I161,0),0)</f>
        <v>0</v>
      </c>
      <c r="L161" s="3" t="n">
        <f aca="false">IF(E161="FINALIZED",ROUND(F161+G161+H161+I161,0),0)</f>
        <v>0</v>
      </c>
    </row>
    <row r="162" customFormat="false" ht="15" hidden="false" customHeight="true" outlineLevel="0" collapsed="false">
      <c r="A162" s="1" t="s">
        <v>81</v>
      </c>
      <c r="B162" s="1" t="s">
        <v>68</v>
      </c>
      <c r="C162" s="1" t="n">
        <v>2026</v>
      </c>
      <c r="D162" s="1" t="n">
        <v>5</v>
      </c>
      <c r="K162" s="3" t="n">
        <f aca="false">IF(E162="FINALIZED",ROUND(F162+G162+H162+I162,0),0)</f>
        <v>0</v>
      </c>
      <c r="L162" s="3" t="n">
        <f aca="false">IF(E162="FINALIZED",ROUND(F162+G162+H162+I162,0),0)</f>
        <v>0</v>
      </c>
    </row>
    <row r="163" customFormat="false" ht="15" hidden="false" customHeight="true" outlineLevel="0" collapsed="false">
      <c r="A163" s="1" t="s">
        <v>81</v>
      </c>
      <c r="B163" s="1" t="s">
        <v>68</v>
      </c>
      <c r="C163" s="1" t="n">
        <v>2026</v>
      </c>
      <c r="D163" s="1" t="n">
        <v>6</v>
      </c>
      <c r="K163" s="3" t="n">
        <f aca="false">IF(E163="FINALIZED",ROUND(F163+G163+H163+I163,0),0)</f>
        <v>0</v>
      </c>
      <c r="L163" s="3" t="n">
        <f aca="false">IF(E163="FINALIZED",ROUND(F163+G163+H163+I163,0),0)</f>
        <v>0</v>
      </c>
    </row>
    <row r="164" customFormat="false" ht="15" hidden="false" customHeight="true" outlineLevel="0" collapsed="false">
      <c r="A164" s="1" t="s">
        <v>81</v>
      </c>
      <c r="B164" s="1" t="s">
        <v>68</v>
      </c>
      <c r="C164" s="1" t="n">
        <v>2026</v>
      </c>
      <c r="D164" s="1" t="n">
        <v>7</v>
      </c>
      <c r="K164" s="3" t="n">
        <f aca="false">IF(E164="FINALIZED",ROUND(F164+G164+H164+I164,0),0)</f>
        <v>0</v>
      </c>
      <c r="L164" s="3" t="n">
        <f aca="false">IF(E164="FINALIZED",ROUND(F164+G164+H164+I164,0),0)</f>
        <v>0</v>
      </c>
    </row>
    <row r="165" customFormat="false" ht="15" hidden="false" customHeight="true" outlineLevel="0" collapsed="false">
      <c r="A165" s="1" t="s">
        <v>81</v>
      </c>
      <c r="B165" s="1" t="s">
        <v>68</v>
      </c>
      <c r="C165" s="1" t="n">
        <v>2026</v>
      </c>
      <c r="D165" s="1" t="n">
        <v>8</v>
      </c>
      <c r="K165" s="3" t="n">
        <f aca="false">IF(E165="FINALIZED",ROUND(F165+G165+H165+I165,0),0)</f>
        <v>0</v>
      </c>
      <c r="L165" s="3" t="n">
        <f aca="false">IF(E165="FINALIZED",ROUND(F165+G165+H165+I165,0),0)</f>
        <v>0</v>
      </c>
    </row>
    <row r="166" customFormat="false" ht="15" hidden="false" customHeight="true" outlineLevel="0" collapsed="false">
      <c r="A166" s="1" t="s">
        <v>81</v>
      </c>
      <c r="B166" s="1" t="s">
        <v>68</v>
      </c>
      <c r="C166" s="1" t="n">
        <v>2026</v>
      </c>
      <c r="D166" s="1" t="n">
        <v>9</v>
      </c>
      <c r="K166" s="3" t="n">
        <f aca="false">IF(E166="FINALIZED",ROUND(F166+G166+H166+I166,0),0)</f>
        <v>0</v>
      </c>
      <c r="L166" s="3" t="n">
        <f aca="false">IF(E166="FINALIZED",ROUND(F166+G166+H166+I166,0),0)</f>
        <v>0</v>
      </c>
    </row>
    <row r="167" customFormat="false" ht="15" hidden="false" customHeight="true" outlineLevel="0" collapsed="false">
      <c r="A167" s="1" t="s">
        <v>81</v>
      </c>
      <c r="B167" s="1" t="s">
        <v>68</v>
      </c>
      <c r="C167" s="1" t="n">
        <v>2026</v>
      </c>
      <c r="D167" s="1" t="n">
        <v>10</v>
      </c>
      <c r="K167" s="3" t="n">
        <f aca="false">IF(E167="FINALIZED",ROUND(F167+G167+H167+I167,0),0)</f>
        <v>0</v>
      </c>
      <c r="L167" s="3" t="n">
        <f aca="false">IF(E167="FINALIZED",ROUND(F167+G167+H167+I167,0),0)</f>
        <v>0</v>
      </c>
    </row>
    <row r="168" customFormat="false" ht="15" hidden="false" customHeight="true" outlineLevel="0" collapsed="false">
      <c r="A168" s="1" t="s">
        <v>81</v>
      </c>
      <c r="B168" s="1" t="s">
        <v>68</v>
      </c>
      <c r="C168" s="1" t="n">
        <v>2026</v>
      </c>
      <c r="D168" s="1" t="n">
        <v>11</v>
      </c>
      <c r="K168" s="3" t="n">
        <f aca="false">IF(E168="FINALIZED",ROUND(F168+G168+H168+I168,0),0)</f>
        <v>0</v>
      </c>
      <c r="L168" s="3" t="n">
        <f aca="false">IF(E168="FINALIZED",ROUND(F168+G168+H168+I168,0),0)</f>
        <v>0</v>
      </c>
    </row>
    <row r="169" customFormat="false" ht="15" hidden="false" customHeight="true" outlineLevel="0" collapsed="false">
      <c r="A169" s="1" t="s">
        <v>81</v>
      </c>
      <c r="B169" s="1" t="s">
        <v>68</v>
      </c>
      <c r="C169" s="1" t="n">
        <v>2026</v>
      </c>
      <c r="D169" s="1" t="n">
        <v>12</v>
      </c>
      <c r="K169" s="3" t="n">
        <f aca="false">IF(E169="FINALIZED",ROUND(F169+G169+H169+I169,0),0)</f>
        <v>0</v>
      </c>
      <c r="L169" s="3" t="n">
        <f aca="false">IF(E169="FINALIZED",ROUND(F169+G169+H169+I169,0),0)</f>
        <v>0</v>
      </c>
    </row>
    <row r="170" customFormat="false" ht="15" hidden="false" customHeight="true" outlineLevel="0" collapsed="false">
      <c r="A170" s="1" t="s">
        <v>82</v>
      </c>
      <c r="B170" s="1" t="s">
        <v>68</v>
      </c>
      <c r="C170" s="1" t="n">
        <v>2026</v>
      </c>
      <c r="D170" s="1" t="n">
        <v>1</v>
      </c>
      <c r="K170" s="3" t="n">
        <f aca="false">IF(E170="FINALIZED",ROUND(F170+G170+H170+I170,0),0)</f>
        <v>0</v>
      </c>
      <c r="L170" s="3" t="n">
        <f aca="false">IF(E170="FINALIZED",ROUND(F170+G170+H170+I170,0),0)</f>
        <v>0</v>
      </c>
    </row>
    <row r="171" customFormat="false" ht="15" hidden="false" customHeight="true" outlineLevel="0" collapsed="false">
      <c r="A171" s="1" t="s">
        <v>82</v>
      </c>
      <c r="B171" s="1" t="s">
        <v>68</v>
      </c>
      <c r="C171" s="1" t="n">
        <v>2026</v>
      </c>
      <c r="D171" s="1" t="n">
        <v>2</v>
      </c>
      <c r="K171" s="3" t="n">
        <f aca="false">IF(E171="FINALIZED",ROUND(F171+G171+H171+I171,0),0)</f>
        <v>0</v>
      </c>
      <c r="L171" s="3" t="n">
        <f aca="false">IF(E171="FINALIZED",ROUND(F171+G171+H171+I171,0),0)</f>
        <v>0</v>
      </c>
    </row>
    <row r="172" customFormat="false" ht="15" hidden="false" customHeight="true" outlineLevel="0" collapsed="false">
      <c r="A172" s="1" t="s">
        <v>82</v>
      </c>
      <c r="B172" s="1" t="s">
        <v>68</v>
      </c>
      <c r="C172" s="1" t="n">
        <v>2026</v>
      </c>
      <c r="D172" s="1" t="n">
        <v>3</v>
      </c>
      <c r="K172" s="3" t="n">
        <f aca="false">IF(E172="FINALIZED",ROUND(F172+G172+H172+I172,0),0)</f>
        <v>0</v>
      </c>
      <c r="L172" s="3" t="n">
        <f aca="false">IF(E172="FINALIZED",ROUND(F172+G172+H172+I172,0),0)</f>
        <v>0</v>
      </c>
    </row>
    <row r="173" customFormat="false" ht="15" hidden="false" customHeight="true" outlineLevel="0" collapsed="false">
      <c r="A173" s="1" t="s">
        <v>82</v>
      </c>
      <c r="B173" s="1" t="s">
        <v>68</v>
      </c>
      <c r="C173" s="1" t="n">
        <v>2026</v>
      </c>
      <c r="D173" s="1" t="n">
        <v>4</v>
      </c>
      <c r="K173" s="3" t="n">
        <f aca="false">IF(E173="FINALIZED",ROUND(F173+G173+H173+I173,0),0)</f>
        <v>0</v>
      </c>
      <c r="L173" s="3" t="n">
        <f aca="false">IF(E173="FINALIZED",ROUND(F173+G173+H173+I173,0),0)</f>
        <v>0</v>
      </c>
    </row>
    <row r="174" customFormat="false" ht="15" hidden="false" customHeight="true" outlineLevel="0" collapsed="false">
      <c r="A174" s="1" t="s">
        <v>82</v>
      </c>
      <c r="B174" s="1" t="s">
        <v>68</v>
      </c>
      <c r="C174" s="1" t="n">
        <v>2026</v>
      </c>
      <c r="D174" s="1" t="n">
        <v>5</v>
      </c>
      <c r="K174" s="3" t="n">
        <f aca="false">IF(E174="FINALIZED",ROUND(F174+G174+H174+I174,0),0)</f>
        <v>0</v>
      </c>
      <c r="L174" s="3" t="n">
        <f aca="false">IF(E174="FINALIZED",ROUND(F174+G174+H174+I174,0),0)</f>
        <v>0</v>
      </c>
    </row>
    <row r="175" customFormat="false" ht="15" hidden="false" customHeight="true" outlineLevel="0" collapsed="false">
      <c r="A175" s="1" t="s">
        <v>82</v>
      </c>
      <c r="B175" s="1" t="s">
        <v>68</v>
      </c>
      <c r="C175" s="1" t="n">
        <v>2026</v>
      </c>
      <c r="D175" s="1" t="n">
        <v>6</v>
      </c>
      <c r="K175" s="3" t="n">
        <f aca="false">IF(E175="FINALIZED",ROUND(F175+G175+H175+I175,0),0)</f>
        <v>0</v>
      </c>
      <c r="L175" s="3" t="n">
        <f aca="false">IF(E175="FINALIZED",ROUND(F175+G175+H175+I175,0),0)</f>
        <v>0</v>
      </c>
    </row>
    <row r="176" customFormat="false" ht="15" hidden="false" customHeight="true" outlineLevel="0" collapsed="false">
      <c r="A176" s="1" t="s">
        <v>82</v>
      </c>
      <c r="B176" s="1" t="s">
        <v>68</v>
      </c>
      <c r="C176" s="1" t="n">
        <v>2026</v>
      </c>
      <c r="D176" s="1" t="n">
        <v>7</v>
      </c>
      <c r="K176" s="3" t="n">
        <f aca="false">IF(E176="FINALIZED",ROUND(F176+G176+H176+I176,0),0)</f>
        <v>0</v>
      </c>
      <c r="L176" s="3" t="n">
        <f aca="false">IF(E176="FINALIZED",ROUND(F176+G176+H176+I176,0),0)</f>
        <v>0</v>
      </c>
    </row>
    <row r="177" customFormat="false" ht="15" hidden="false" customHeight="true" outlineLevel="0" collapsed="false">
      <c r="A177" s="1" t="s">
        <v>82</v>
      </c>
      <c r="B177" s="1" t="s">
        <v>68</v>
      </c>
      <c r="C177" s="1" t="n">
        <v>2026</v>
      </c>
      <c r="D177" s="1" t="n">
        <v>8</v>
      </c>
      <c r="K177" s="3" t="n">
        <f aca="false">IF(E177="FINALIZED",ROUND(F177+G177+H177+I177,0),0)</f>
        <v>0</v>
      </c>
      <c r="L177" s="3" t="n">
        <f aca="false">IF(E177="FINALIZED",ROUND(F177+G177+H177+I177,0),0)</f>
        <v>0</v>
      </c>
    </row>
    <row r="178" customFormat="false" ht="15" hidden="false" customHeight="true" outlineLevel="0" collapsed="false">
      <c r="A178" s="1" t="s">
        <v>82</v>
      </c>
      <c r="B178" s="1" t="s">
        <v>68</v>
      </c>
      <c r="C178" s="1" t="n">
        <v>2026</v>
      </c>
      <c r="D178" s="1" t="n">
        <v>9</v>
      </c>
      <c r="K178" s="3" t="n">
        <f aca="false">IF(E178="FINALIZED",ROUND(F178+G178+H178+I178,0),0)</f>
        <v>0</v>
      </c>
      <c r="L178" s="3" t="n">
        <f aca="false">IF(E178="FINALIZED",ROUND(F178+G178+H178+I178,0),0)</f>
        <v>0</v>
      </c>
    </row>
    <row r="179" customFormat="false" ht="15" hidden="false" customHeight="true" outlineLevel="0" collapsed="false">
      <c r="A179" s="1" t="s">
        <v>82</v>
      </c>
      <c r="B179" s="1" t="s">
        <v>68</v>
      </c>
      <c r="C179" s="1" t="n">
        <v>2026</v>
      </c>
      <c r="D179" s="1" t="n">
        <v>10</v>
      </c>
      <c r="K179" s="3" t="n">
        <f aca="false">IF(E179="FINALIZED",ROUND(F179+G179+H179+I179,0),0)</f>
        <v>0</v>
      </c>
      <c r="L179" s="3" t="n">
        <f aca="false">IF(E179="FINALIZED",ROUND(F179+G179+H179+I179,0),0)</f>
        <v>0</v>
      </c>
    </row>
    <row r="180" customFormat="false" ht="15" hidden="false" customHeight="true" outlineLevel="0" collapsed="false">
      <c r="A180" s="1" t="s">
        <v>82</v>
      </c>
      <c r="B180" s="1" t="s">
        <v>68</v>
      </c>
      <c r="C180" s="1" t="n">
        <v>2026</v>
      </c>
      <c r="D180" s="1" t="n">
        <v>11</v>
      </c>
      <c r="K180" s="3" t="n">
        <f aca="false">IF(E180="FINALIZED",ROUND(F180+G180+H180+I180,0),0)</f>
        <v>0</v>
      </c>
      <c r="L180" s="3" t="n">
        <f aca="false">IF(E180="FINALIZED",ROUND(F180+G180+H180+I180,0),0)</f>
        <v>0</v>
      </c>
    </row>
    <row r="181" customFormat="false" ht="15" hidden="false" customHeight="true" outlineLevel="0" collapsed="false">
      <c r="A181" s="1" t="s">
        <v>82</v>
      </c>
      <c r="B181" s="1" t="s">
        <v>68</v>
      </c>
      <c r="C181" s="1" t="n">
        <v>2026</v>
      </c>
      <c r="D181" s="1" t="n">
        <v>12</v>
      </c>
      <c r="K181" s="3" t="n">
        <f aca="false">IF(E181="FINALIZED",ROUND(F181+G181+H181+I181,0),0)</f>
        <v>0</v>
      </c>
      <c r="L181" s="3" t="n">
        <f aca="false">IF(E181="FINALIZED",ROUND(F181+G181+H181+I181,0),0)</f>
        <v>0</v>
      </c>
    </row>
    <row r="182" customFormat="false" ht="15" hidden="false" customHeight="true" outlineLevel="0" collapsed="false">
      <c r="A182" s="1" t="s">
        <v>83</v>
      </c>
      <c r="B182" s="1" t="s">
        <v>68</v>
      </c>
      <c r="C182" s="1" t="n">
        <v>2026</v>
      </c>
      <c r="D182" s="1" t="n">
        <v>1</v>
      </c>
      <c r="K182" s="3" t="n">
        <f aca="false">IF(E182="FINALIZED",ROUND(F182+G182+H182+I182,0),0)</f>
        <v>0</v>
      </c>
      <c r="L182" s="3" t="n">
        <f aca="false">IF(E182="FINALIZED",ROUND(F182+G182+H182+I182,0),0)</f>
        <v>0</v>
      </c>
    </row>
    <row r="183" customFormat="false" ht="15" hidden="false" customHeight="true" outlineLevel="0" collapsed="false">
      <c r="A183" s="1" t="s">
        <v>83</v>
      </c>
      <c r="B183" s="1" t="s">
        <v>68</v>
      </c>
      <c r="C183" s="1" t="n">
        <v>2026</v>
      </c>
      <c r="D183" s="1" t="n">
        <v>2</v>
      </c>
      <c r="K183" s="3" t="n">
        <f aca="false">IF(E183="FINALIZED",ROUND(F183+G183+H183+I183,0),0)</f>
        <v>0</v>
      </c>
      <c r="L183" s="3" t="n">
        <f aca="false">IF(E183="FINALIZED",ROUND(F183+G183+H183+I183,0),0)</f>
        <v>0</v>
      </c>
    </row>
    <row r="184" customFormat="false" ht="15" hidden="false" customHeight="true" outlineLevel="0" collapsed="false">
      <c r="A184" s="1" t="s">
        <v>83</v>
      </c>
      <c r="B184" s="1" t="s">
        <v>68</v>
      </c>
      <c r="C184" s="1" t="n">
        <v>2026</v>
      </c>
      <c r="D184" s="1" t="n">
        <v>3</v>
      </c>
      <c r="K184" s="3" t="n">
        <f aca="false">IF(E184="FINALIZED",ROUND(F184+G184+H184+I184,0),0)</f>
        <v>0</v>
      </c>
      <c r="L184" s="3" t="n">
        <f aca="false">IF(E184="FINALIZED",ROUND(F184+G184+H184+I184,0),0)</f>
        <v>0</v>
      </c>
    </row>
    <row r="185" customFormat="false" ht="15" hidden="false" customHeight="true" outlineLevel="0" collapsed="false">
      <c r="A185" s="1" t="s">
        <v>83</v>
      </c>
      <c r="B185" s="1" t="s">
        <v>68</v>
      </c>
      <c r="C185" s="1" t="n">
        <v>2026</v>
      </c>
      <c r="D185" s="1" t="n">
        <v>4</v>
      </c>
      <c r="K185" s="3" t="n">
        <f aca="false">IF(E185="FINALIZED",ROUND(F185+G185+H185+I185,0),0)</f>
        <v>0</v>
      </c>
      <c r="L185" s="3" t="n">
        <f aca="false">IF(E185="FINALIZED",ROUND(F185+G185+H185+I185,0),0)</f>
        <v>0</v>
      </c>
    </row>
    <row r="186" customFormat="false" ht="15" hidden="false" customHeight="true" outlineLevel="0" collapsed="false">
      <c r="A186" s="1" t="s">
        <v>83</v>
      </c>
      <c r="B186" s="1" t="s">
        <v>68</v>
      </c>
      <c r="C186" s="1" t="n">
        <v>2026</v>
      </c>
      <c r="D186" s="1" t="n">
        <v>5</v>
      </c>
      <c r="K186" s="3" t="n">
        <f aca="false">IF(E186="FINALIZED",ROUND(F186+G186+H186+I186,0),0)</f>
        <v>0</v>
      </c>
      <c r="L186" s="3" t="n">
        <f aca="false">IF(E186="FINALIZED",ROUND(F186+G186+H186+I186,0),0)</f>
        <v>0</v>
      </c>
    </row>
    <row r="187" customFormat="false" ht="15" hidden="false" customHeight="true" outlineLevel="0" collapsed="false">
      <c r="A187" s="1" t="s">
        <v>83</v>
      </c>
      <c r="B187" s="1" t="s">
        <v>68</v>
      </c>
      <c r="C187" s="1" t="n">
        <v>2026</v>
      </c>
      <c r="D187" s="1" t="n">
        <v>6</v>
      </c>
      <c r="K187" s="3" t="n">
        <f aca="false">IF(E187="FINALIZED",ROUND(F187+G187+H187+I187,0),0)</f>
        <v>0</v>
      </c>
      <c r="L187" s="3" t="n">
        <f aca="false">IF(E187="FINALIZED",ROUND(F187+G187+H187+I187,0),0)</f>
        <v>0</v>
      </c>
    </row>
    <row r="188" customFormat="false" ht="15" hidden="false" customHeight="true" outlineLevel="0" collapsed="false">
      <c r="A188" s="1" t="s">
        <v>83</v>
      </c>
      <c r="B188" s="1" t="s">
        <v>68</v>
      </c>
      <c r="C188" s="1" t="n">
        <v>2026</v>
      </c>
      <c r="D188" s="1" t="n">
        <v>7</v>
      </c>
      <c r="K188" s="3" t="n">
        <f aca="false">IF(E188="FINALIZED",ROUND(F188+G188+H188+I188,0),0)</f>
        <v>0</v>
      </c>
      <c r="L188" s="3" t="n">
        <f aca="false">IF(E188="FINALIZED",ROUND(F188+G188+H188+I188,0),0)</f>
        <v>0</v>
      </c>
    </row>
    <row r="189" customFormat="false" ht="15" hidden="false" customHeight="true" outlineLevel="0" collapsed="false">
      <c r="A189" s="1" t="s">
        <v>83</v>
      </c>
      <c r="B189" s="1" t="s">
        <v>68</v>
      </c>
      <c r="C189" s="1" t="n">
        <v>2026</v>
      </c>
      <c r="D189" s="1" t="n">
        <v>8</v>
      </c>
      <c r="K189" s="3" t="n">
        <f aca="false">IF(E189="FINALIZED",ROUND(F189+G189+H189+I189,0),0)</f>
        <v>0</v>
      </c>
      <c r="L189" s="3" t="n">
        <f aca="false">IF(E189="FINALIZED",ROUND(F189+G189+H189+I189,0),0)</f>
        <v>0</v>
      </c>
    </row>
    <row r="190" customFormat="false" ht="15" hidden="false" customHeight="true" outlineLevel="0" collapsed="false">
      <c r="A190" s="1" t="s">
        <v>83</v>
      </c>
      <c r="B190" s="1" t="s">
        <v>68</v>
      </c>
      <c r="C190" s="1" t="n">
        <v>2026</v>
      </c>
      <c r="D190" s="1" t="n">
        <v>9</v>
      </c>
      <c r="K190" s="3" t="n">
        <f aca="false">IF(E190="FINALIZED",ROUND(F190+G190+H190+I190,0),0)</f>
        <v>0</v>
      </c>
      <c r="L190" s="3" t="n">
        <f aca="false">IF(E190="FINALIZED",ROUND(F190+G190+H190+I190,0),0)</f>
        <v>0</v>
      </c>
    </row>
    <row r="191" customFormat="false" ht="15" hidden="false" customHeight="true" outlineLevel="0" collapsed="false">
      <c r="A191" s="1" t="s">
        <v>83</v>
      </c>
      <c r="B191" s="1" t="s">
        <v>68</v>
      </c>
      <c r="C191" s="1" t="n">
        <v>2026</v>
      </c>
      <c r="D191" s="1" t="n">
        <v>10</v>
      </c>
      <c r="K191" s="3" t="n">
        <f aca="false">IF(E191="FINALIZED",ROUND(F191+G191+H191+I191,0),0)</f>
        <v>0</v>
      </c>
      <c r="L191" s="3" t="n">
        <f aca="false">IF(E191="FINALIZED",ROUND(F191+G191+H191+I191,0),0)</f>
        <v>0</v>
      </c>
    </row>
    <row r="192" customFormat="false" ht="15" hidden="false" customHeight="true" outlineLevel="0" collapsed="false">
      <c r="A192" s="1" t="s">
        <v>83</v>
      </c>
      <c r="B192" s="1" t="s">
        <v>68</v>
      </c>
      <c r="C192" s="1" t="n">
        <v>2026</v>
      </c>
      <c r="D192" s="1" t="n">
        <v>11</v>
      </c>
      <c r="K192" s="3" t="n">
        <f aca="false">IF(E192="FINALIZED",ROUND(F192+G192+H192+I192,0),0)</f>
        <v>0</v>
      </c>
      <c r="L192" s="3" t="n">
        <f aca="false">IF(E192="FINALIZED",ROUND(F192+G192+H192+I192,0),0)</f>
        <v>0</v>
      </c>
    </row>
    <row r="193" customFormat="false" ht="15" hidden="false" customHeight="true" outlineLevel="0" collapsed="false">
      <c r="A193" s="1" t="s">
        <v>83</v>
      </c>
      <c r="B193" s="1" t="s">
        <v>68</v>
      </c>
      <c r="C193" s="1" t="n">
        <v>2026</v>
      </c>
      <c r="D193" s="1" t="n">
        <v>12</v>
      </c>
      <c r="K193" s="3" t="n">
        <f aca="false">IF(E193="FINALIZED",ROUND(F193+G193+H193+I193,0),0)</f>
        <v>0</v>
      </c>
      <c r="L193" s="3" t="n">
        <f aca="false">IF(E193="FINALIZED",ROUND(F193+G193+H193+I193,0),0)</f>
        <v>0</v>
      </c>
    </row>
    <row r="194" customFormat="false" ht="15" hidden="false" customHeight="true" outlineLevel="0" collapsed="false">
      <c r="A194" s="1" t="s">
        <v>84</v>
      </c>
      <c r="B194" s="1" t="s">
        <v>68</v>
      </c>
      <c r="C194" s="1" t="n">
        <v>2026</v>
      </c>
      <c r="D194" s="1" t="n">
        <v>1</v>
      </c>
      <c r="K194" s="3" t="n">
        <f aca="false">IF(E194="FINALIZED",ROUND(F194+G194+H194+I194,0),0)</f>
        <v>0</v>
      </c>
      <c r="L194" s="3" t="n">
        <f aca="false">IF(E194="FINALIZED",ROUND(F194+G194+H194+I194,0),0)</f>
        <v>0</v>
      </c>
    </row>
    <row r="195" customFormat="false" ht="15" hidden="false" customHeight="true" outlineLevel="0" collapsed="false">
      <c r="A195" s="1" t="s">
        <v>84</v>
      </c>
      <c r="B195" s="1" t="s">
        <v>68</v>
      </c>
      <c r="C195" s="1" t="n">
        <v>2026</v>
      </c>
      <c r="D195" s="1" t="n">
        <v>2</v>
      </c>
      <c r="K195" s="3" t="n">
        <f aca="false">IF(E195="FINALIZED",ROUND(F195+G195+H195+I195,0),0)</f>
        <v>0</v>
      </c>
      <c r="L195" s="3" t="n">
        <f aca="false">IF(E195="FINALIZED",ROUND(F195+G195+H195+I195,0),0)</f>
        <v>0</v>
      </c>
    </row>
    <row r="196" customFormat="false" ht="15" hidden="false" customHeight="true" outlineLevel="0" collapsed="false">
      <c r="A196" s="1" t="s">
        <v>84</v>
      </c>
      <c r="B196" s="1" t="s">
        <v>68</v>
      </c>
      <c r="C196" s="1" t="n">
        <v>2026</v>
      </c>
      <c r="D196" s="1" t="n">
        <v>3</v>
      </c>
      <c r="K196" s="3" t="n">
        <f aca="false">IF(E196="FINALIZED",ROUND(F196+G196+H196+I196,0),0)</f>
        <v>0</v>
      </c>
      <c r="L196" s="3" t="n">
        <f aca="false">IF(E196="FINALIZED",ROUND(F196+G196+H196+I196,0),0)</f>
        <v>0</v>
      </c>
    </row>
    <row r="197" customFormat="false" ht="15" hidden="false" customHeight="true" outlineLevel="0" collapsed="false">
      <c r="A197" s="1" t="s">
        <v>84</v>
      </c>
      <c r="B197" s="1" t="s">
        <v>68</v>
      </c>
      <c r="C197" s="1" t="n">
        <v>2026</v>
      </c>
      <c r="D197" s="1" t="n">
        <v>4</v>
      </c>
      <c r="K197" s="3" t="n">
        <f aca="false">IF(E197="FINALIZED",ROUND(F197+G197+H197+I197,0),0)</f>
        <v>0</v>
      </c>
      <c r="L197" s="3" t="n">
        <f aca="false">IF(E197="FINALIZED",ROUND(F197+G197+H197+I197,0),0)</f>
        <v>0</v>
      </c>
    </row>
    <row r="198" customFormat="false" ht="15" hidden="false" customHeight="true" outlineLevel="0" collapsed="false">
      <c r="A198" s="1" t="s">
        <v>84</v>
      </c>
      <c r="B198" s="1" t="s">
        <v>68</v>
      </c>
      <c r="C198" s="1" t="n">
        <v>2026</v>
      </c>
      <c r="D198" s="1" t="n">
        <v>5</v>
      </c>
      <c r="K198" s="3" t="n">
        <f aca="false">IF(E198="FINALIZED",ROUND(F198+G198+H198+I198,0),0)</f>
        <v>0</v>
      </c>
      <c r="L198" s="3" t="n">
        <f aca="false">IF(E198="FINALIZED",ROUND(F198+G198+H198+I198,0),0)</f>
        <v>0</v>
      </c>
    </row>
    <row r="199" customFormat="false" ht="15" hidden="false" customHeight="true" outlineLevel="0" collapsed="false">
      <c r="A199" s="1" t="s">
        <v>84</v>
      </c>
      <c r="B199" s="1" t="s">
        <v>68</v>
      </c>
      <c r="C199" s="1" t="n">
        <v>2026</v>
      </c>
      <c r="D199" s="1" t="n">
        <v>6</v>
      </c>
      <c r="K199" s="3" t="n">
        <f aca="false">IF(E199="FINALIZED",ROUND(F199+G199+H199+I199,0),0)</f>
        <v>0</v>
      </c>
      <c r="L199" s="3" t="n">
        <f aca="false">IF(E199="FINALIZED",ROUND(F199+G199+H199+I199,0),0)</f>
        <v>0</v>
      </c>
    </row>
    <row r="200" customFormat="false" ht="15" hidden="false" customHeight="true" outlineLevel="0" collapsed="false">
      <c r="A200" s="1" t="s">
        <v>84</v>
      </c>
      <c r="B200" s="1" t="s">
        <v>68</v>
      </c>
      <c r="C200" s="1" t="n">
        <v>2026</v>
      </c>
      <c r="D200" s="1" t="n">
        <v>7</v>
      </c>
      <c r="K200" s="3" t="n">
        <f aca="false">IF(E200="FINALIZED",ROUND(F200+G200+H200+I200,0),0)</f>
        <v>0</v>
      </c>
      <c r="L200" s="3" t="n">
        <f aca="false">IF(E200="FINALIZED",ROUND(F200+G200+H200+I200,0),0)</f>
        <v>0</v>
      </c>
    </row>
    <row r="201" customFormat="false" ht="15" hidden="false" customHeight="true" outlineLevel="0" collapsed="false">
      <c r="A201" s="1" t="s">
        <v>84</v>
      </c>
      <c r="B201" s="1" t="s">
        <v>68</v>
      </c>
      <c r="C201" s="1" t="n">
        <v>2026</v>
      </c>
      <c r="D201" s="1" t="n">
        <v>8</v>
      </c>
      <c r="K201" s="3" t="n">
        <f aca="false">IF(E201="FINALIZED",ROUND(F201+G201+H201+I201,0),0)</f>
        <v>0</v>
      </c>
      <c r="L201" s="3" t="n">
        <f aca="false">IF(E201="FINALIZED",ROUND(F201+G201+H201+I201,0),0)</f>
        <v>0</v>
      </c>
    </row>
    <row r="202" customFormat="false" ht="15" hidden="false" customHeight="true" outlineLevel="0" collapsed="false">
      <c r="A202" s="1" t="s">
        <v>84</v>
      </c>
      <c r="B202" s="1" t="s">
        <v>68</v>
      </c>
      <c r="C202" s="1" t="n">
        <v>2026</v>
      </c>
      <c r="D202" s="1" t="n">
        <v>9</v>
      </c>
      <c r="K202" s="3" t="n">
        <f aca="false">IF(E202="FINALIZED",ROUND(F202+G202+H202+I202,0),0)</f>
        <v>0</v>
      </c>
      <c r="L202" s="3" t="n">
        <f aca="false">IF(E202="FINALIZED",ROUND(F202+G202+H202+I202,0),0)</f>
        <v>0</v>
      </c>
    </row>
    <row r="203" customFormat="false" ht="15" hidden="false" customHeight="true" outlineLevel="0" collapsed="false">
      <c r="A203" s="1" t="s">
        <v>84</v>
      </c>
      <c r="B203" s="1" t="s">
        <v>68</v>
      </c>
      <c r="C203" s="1" t="n">
        <v>2026</v>
      </c>
      <c r="D203" s="1" t="n">
        <v>10</v>
      </c>
      <c r="K203" s="3" t="n">
        <f aca="false">IF(E203="FINALIZED",ROUND(F203+G203+H203+I203,0),0)</f>
        <v>0</v>
      </c>
      <c r="L203" s="3" t="n">
        <f aca="false">IF(E203="FINALIZED",ROUND(F203+G203+H203+I203,0),0)</f>
        <v>0</v>
      </c>
    </row>
    <row r="204" customFormat="false" ht="15" hidden="false" customHeight="true" outlineLevel="0" collapsed="false">
      <c r="A204" s="1" t="s">
        <v>84</v>
      </c>
      <c r="B204" s="1" t="s">
        <v>68</v>
      </c>
      <c r="C204" s="1" t="n">
        <v>2026</v>
      </c>
      <c r="D204" s="1" t="n">
        <v>11</v>
      </c>
      <c r="K204" s="3" t="n">
        <f aca="false">IF(E204="FINALIZED",ROUND(F204+G204+H204+I204,0),0)</f>
        <v>0</v>
      </c>
      <c r="L204" s="3" t="n">
        <f aca="false">IF(E204="FINALIZED",ROUND(F204+G204+H204+I204,0),0)</f>
        <v>0</v>
      </c>
    </row>
    <row r="205" customFormat="false" ht="15" hidden="false" customHeight="true" outlineLevel="0" collapsed="false">
      <c r="A205" s="1" t="s">
        <v>84</v>
      </c>
      <c r="B205" s="1" t="s">
        <v>68</v>
      </c>
      <c r="C205" s="1" t="n">
        <v>2026</v>
      </c>
      <c r="D205" s="1" t="n">
        <v>12</v>
      </c>
      <c r="K205" s="3" t="n">
        <f aca="false">IF(E205="FINALIZED",ROUND(F205+G205+H205+I205,0),0)</f>
        <v>0</v>
      </c>
      <c r="L205" s="3" t="n">
        <f aca="false">IF(E205="FINALIZED",ROUND(F205+G205+H205+I205,0),0)</f>
        <v>0</v>
      </c>
    </row>
    <row r="206" customFormat="false" ht="15" hidden="false" customHeight="true" outlineLevel="0" collapsed="false">
      <c r="A206" s="1" t="s">
        <v>85</v>
      </c>
      <c r="B206" s="1" t="s">
        <v>68</v>
      </c>
      <c r="C206" s="1" t="n">
        <v>2026</v>
      </c>
      <c r="D206" s="1" t="n">
        <v>1</v>
      </c>
      <c r="K206" s="3" t="n">
        <f aca="false">IF(E206="FINALIZED",ROUND(F206+G206+H206+I206,0),0)</f>
        <v>0</v>
      </c>
      <c r="L206" s="3" t="n">
        <f aca="false">IF(E206="FINALIZED",ROUND(F206+G206+H206+I206,0),0)</f>
        <v>0</v>
      </c>
    </row>
    <row r="207" customFormat="false" ht="15" hidden="false" customHeight="true" outlineLevel="0" collapsed="false">
      <c r="A207" s="1" t="s">
        <v>85</v>
      </c>
      <c r="B207" s="1" t="s">
        <v>68</v>
      </c>
      <c r="C207" s="1" t="n">
        <v>2026</v>
      </c>
      <c r="D207" s="1" t="n">
        <v>2</v>
      </c>
      <c r="K207" s="3" t="n">
        <f aca="false">IF(E207="FINALIZED",ROUND(F207+G207+H207+I207,0),0)</f>
        <v>0</v>
      </c>
      <c r="L207" s="3" t="n">
        <f aca="false">IF(E207="FINALIZED",ROUND(F207+G207+H207+I207,0),0)</f>
        <v>0</v>
      </c>
    </row>
    <row r="208" customFormat="false" ht="15" hidden="false" customHeight="true" outlineLevel="0" collapsed="false">
      <c r="A208" s="1" t="s">
        <v>85</v>
      </c>
      <c r="B208" s="1" t="s">
        <v>68</v>
      </c>
      <c r="C208" s="1" t="n">
        <v>2026</v>
      </c>
      <c r="D208" s="1" t="n">
        <v>3</v>
      </c>
      <c r="K208" s="3" t="n">
        <f aca="false">IF(E208="FINALIZED",ROUND(F208+G208+H208+I208,0),0)</f>
        <v>0</v>
      </c>
      <c r="L208" s="3" t="n">
        <f aca="false">IF(E208="FINALIZED",ROUND(F208+G208+H208+I208,0),0)</f>
        <v>0</v>
      </c>
    </row>
    <row r="209" customFormat="false" ht="15" hidden="false" customHeight="true" outlineLevel="0" collapsed="false">
      <c r="A209" s="1" t="s">
        <v>85</v>
      </c>
      <c r="B209" s="1" t="s">
        <v>68</v>
      </c>
      <c r="C209" s="1" t="n">
        <v>2026</v>
      </c>
      <c r="D209" s="1" t="n">
        <v>4</v>
      </c>
      <c r="K209" s="3" t="n">
        <f aca="false">IF(E209="FINALIZED",ROUND(F209+G209+H209+I209,0),0)</f>
        <v>0</v>
      </c>
      <c r="L209" s="3" t="n">
        <f aca="false">IF(E209="FINALIZED",ROUND(F209+G209+H209+I209,0),0)</f>
        <v>0</v>
      </c>
    </row>
    <row r="210" customFormat="false" ht="15" hidden="false" customHeight="true" outlineLevel="0" collapsed="false">
      <c r="A210" s="1" t="s">
        <v>85</v>
      </c>
      <c r="B210" s="1" t="s">
        <v>68</v>
      </c>
      <c r="C210" s="1" t="n">
        <v>2026</v>
      </c>
      <c r="D210" s="1" t="n">
        <v>5</v>
      </c>
      <c r="K210" s="3" t="n">
        <f aca="false">IF(E210="FINALIZED",ROUND(F210+G210+H210+I210,0),0)</f>
        <v>0</v>
      </c>
      <c r="L210" s="3" t="n">
        <f aca="false">IF(E210="FINALIZED",ROUND(F210+G210+H210+I210,0),0)</f>
        <v>0</v>
      </c>
    </row>
    <row r="211" customFormat="false" ht="15" hidden="false" customHeight="true" outlineLevel="0" collapsed="false">
      <c r="A211" s="1" t="s">
        <v>85</v>
      </c>
      <c r="B211" s="1" t="s">
        <v>68</v>
      </c>
      <c r="C211" s="1" t="n">
        <v>2026</v>
      </c>
      <c r="D211" s="1" t="n">
        <v>6</v>
      </c>
      <c r="K211" s="3" t="n">
        <f aca="false">IF(E211="FINALIZED",ROUND(F211+G211+H211+I211,0),0)</f>
        <v>0</v>
      </c>
      <c r="L211" s="3" t="n">
        <f aca="false">IF(E211="FINALIZED",ROUND(F211+G211+H211+I211,0),0)</f>
        <v>0</v>
      </c>
    </row>
    <row r="212" customFormat="false" ht="15" hidden="false" customHeight="true" outlineLevel="0" collapsed="false">
      <c r="A212" s="1" t="s">
        <v>85</v>
      </c>
      <c r="B212" s="1" t="s">
        <v>68</v>
      </c>
      <c r="C212" s="1" t="n">
        <v>2026</v>
      </c>
      <c r="D212" s="1" t="n">
        <v>7</v>
      </c>
      <c r="K212" s="3" t="n">
        <f aca="false">IF(E212="FINALIZED",ROUND(F212+G212+H212+I212,0),0)</f>
        <v>0</v>
      </c>
      <c r="L212" s="3" t="n">
        <f aca="false">IF(E212="FINALIZED",ROUND(F212+G212+H212+I212,0),0)</f>
        <v>0</v>
      </c>
    </row>
    <row r="213" customFormat="false" ht="15" hidden="false" customHeight="true" outlineLevel="0" collapsed="false">
      <c r="A213" s="1" t="s">
        <v>85</v>
      </c>
      <c r="B213" s="1" t="s">
        <v>68</v>
      </c>
      <c r="C213" s="1" t="n">
        <v>2026</v>
      </c>
      <c r="D213" s="1" t="n">
        <v>8</v>
      </c>
      <c r="K213" s="3" t="n">
        <f aca="false">IF(E213="FINALIZED",ROUND(F213+G213+H213+I213,0),0)</f>
        <v>0</v>
      </c>
      <c r="L213" s="3" t="n">
        <f aca="false">IF(E213="FINALIZED",ROUND(F213+G213+H213+I213,0),0)</f>
        <v>0</v>
      </c>
    </row>
    <row r="214" customFormat="false" ht="15" hidden="false" customHeight="true" outlineLevel="0" collapsed="false">
      <c r="A214" s="1" t="s">
        <v>85</v>
      </c>
      <c r="B214" s="1" t="s">
        <v>68</v>
      </c>
      <c r="C214" s="1" t="n">
        <v>2026</v>
      </c>
      <c r="D214" s="1" t="n">
        <v>9</v>
      </c>
      <c r="K214" s="3" t="n">
        <f aca="false">IF(E214="FINALIZED",ROUND(F214+G214+H214+I214,0),0)</f>
        <v>0</v>
      </c>
      <c r="L214" s="3" t="n">
        <f aca="false">IF(E214="FINALIZED",ROUND(F214+G214+H214+I214,0),0)</f>
        <v>0</v>
      </c>
    </row>
    <row r="215" customFormat="false" ht="15" hidden="false" customHeight="true" outlineLevel="0" collapsed="false">
      <c r="A215" s="1" t="s">
        <v>85</v>
      </c>
      <c r="B215" s="1" t="s">
        <v>68</v>
      </c>
      <c r="C215" s="1" t="n">
        <v>2026</v>
      </c>
      <c r="D215" s="1" t="n">
        <v>10</v>
      </c>
      <c r="K215" s="3" t="n">
        <f aca="false">IF(E215="FINALIZED",ROUND(F215+G215+H215+I215,0),0)</f>
        <v>0</v>
      </c>
      <c r="L215" s="3" t="n">
        <f aca="false">IF(E215="FINALIZED",ROUND(F215+G215+H215+I215,0),0)</f>
        <v>0</v>
      </c>
    </row>
    <row r="216" customFormat="false" ht="15" hidden="false" customHeight="true" outlineLevel="0" collapsed="false">
      <c r="A216" s="1" t="s">
        <v>85</v>
      </c>
      <c r="B216" s="1" t="s">
        <v>68</v>
      </c>
      <c r="C216" s="1" t="n">
        <v>2026</v>
      </c>
      <c r="D216" s="1" t="n">
        <v>11</v>
      </c>
      <c r="K216" s="3" t="n">
        <f aca="false">IF(E216="FINALIZED",ROUND(F216+G216+H216+I216,0),0)</f>
        <v>0</v>
      </c>
      <c r="L216" s="3" t="n">
        <f aca="false">IF(E216="FINALIZED",ROUND(F216+G216+H216+I216,0),0)</f>
        <v>0</v>
      </c>
    </row>
    <row r="217" customFormat="false" ht="15" hidden="false" customHeight="true" outlineLevel="0" collapsed="false">
      <c r="A217" s="1" t="s">
        <v>85</v>
      </c>
      <c r="B217" s="1" t="s">
        <v>68</v>
      </c>
      <c r="C217" s="1" t="n">
        <v>2026</v>
      </c>
      <c r="D217" s="1" t="n">
        <v>12</v>
      </c>
      <c r="K217" s="3" t="n">
        <f aca="false">IF(E217="FINALIZED",ROUND(F217+G217+H217+I217,0),0)</f>
        <v>0</v>
      </c>
      <c r="L217" s="3" t="n">
        <f aca="false">IF(E217="FINALIZED",ROUND(F217+G217+H217+I217,0),0)</f>
        <v>0</v>
      </c>
    </row>
    <row r="218" customFormat="false" ht="15" hidden="false" customHeight="true" outlineLevel="0" collapsed="false">
      <c r="A218" s="1" t="s">
        <v>86</v>
      </c>
      <c r="B218" s="1" t="s">
        <v>87</v>
      </c>
      <c r="C218" s="1" t="n">
        <v>2026</v>
      </c>
      <c r="D218" s="1" t="n">
        <v>1</v>
      </c>
      <c r="K218" s="3" t="n">
        <f aca="false">IF(E218="FINALIZED",ROUND(F218+G218+H218+I218,0),0)</f>
        <v>0</v>
      </c>
      <c r="L218" s="3" t="n">
        <f aca="false">IF(E218="FINALIZED",ROUND(F218+G218+H218+I218,0),0)</f>
        <v>0</v>
      </c>
    </row>
    <row r="219" customFormat="false" ht="15" hidden="false" customHeight="true" outlineLevel="0" collapsed="false">
      <c r="A219" s="1" t="s">
        <v>86</v>
      </c>
      <c r="B219" s="1" t="s">
        <v>87</v>
      </c>
      <c r="C219" s="1" t="n">
        <v>2026</v>
      </c>
      <c r="D219" s="1" t="n">
        <v>2</v>
      </c>
      <c r="K219" s="3" t="n">
        <f aca="false">IF(E219="FINALIZED",ROUND(F219+G219+H219+I219,0),0)</f>
        <v>0</v>
      </c>
      <c r="L219" s="3" t="n">
        <f aca="false">IF(E219="FINALIZED",ROUND(F219+G219+H219+I219,0),0)</f>
        <v>0</v>
      </c>
    </row>
    <row r="220" customFormat="false" ht="15" hidden="false" customHeight="true" outlineLevel="0" collapsed="false">
      <c r="A220" s="1" t="s">
        <v>86</v>
      </c>
      <c r="B220" s="1" t="s">
        <v>87</v>
      </c>
      <c r="C220" s="1" t="n">
        <v>2026</v>
      </c>
      <c r="D220" s="1" t="n">
        <v>3</v>
      </c>
      <c r="K220" s="3" t="n">
        <f aca="false">IF(E220="FINALIZED",ROUND(F220+G220+H220+I220,0),0)</f>
        <v>0</v>
      </c>
      <c r="L220" s="3" t="n">
        <f aca="false">IF(E220="FINALIZED",ROUND(F220+G220+H220+I220,0),0)</f>
        <v>0</v>
      </c>
    </row>
    <row r="221" customFormat="false" ht="15" hidden="false" customHeight="true" outlineLevel="0" collapsed="false">
      <c r="A221" s="1" t="s">
        <v>86</v>
      </c>
      <c r="B221" s="1" t="s">
        <v>87</v>
      </c>
      <c r="C221" s="1" t="n">
        <v>2026</v>
      </c>
      <c r="D221" s="1" t="n">
        <v>4</v>
      </c>
      <c r="K221" s="3" t="n">
        <f aca="false">IF(E221="FINALIZED",ROUND(F221+G221+H221+I221,0),0)</f>
        <v>0</v>
      </c>
      <c r="L221" s="3" t="n">
        <f aca="false">IF(E221="FINALIZED",ROUND(F221+G221+H221+I221,0),0)</f>
        <v>0</v>
      </c>
    </row>
    <row r="222" customFormat="false" ht="15" hidden="false" customHeight="true" outlineLevel="0" collapsed="false">
      <c r="A222" s="1" t="s">
        <v>86</v>
      </c>
      <c r="B222" s="1" t="s">
        <v>87</v>
      </c>
      <c r="C222" s="1" t="n">
        <v>2026</v>
      </c>
      <c r="D222" s="1" t="n">
        <v>5</v>
      </c>
      <c r="K222" s="3" t="n">
        <f aca="false">IF(E222="FINALIZED",ROUND(F222+G222+H222+I222,0),0)</f>
        <v>0</v>
      </c>
      <c r="L222" s="3" t="n">
        <f aca="false">IF(E222="FINALIZED",ROUND(F222+G222+H222+I222,0),0)</f>
        <v>0</v>
      </c>
    </row>
    <row r="223" customFormat="false" ht="15" hidden="false" customHeight="true" outlineLevel="0" collapsed="false">
      <c r="A223" s="1" t="s">
        <v>86</v>
      </c>
      <c r="B223" s="1" t="s">
        <v>87</v>
      </c>
      <c r="C223" s="1" t="n">
        <v>2026</v>
      </c>
      <c r="D223" s="1" t="n">
        <v>6</v>
      </c>
      <c r="K223" s="3" t="n">
        <f aca="false">IF(E223="FINALIZED",ROUND(F223+G223+H223+I223,0),0)</f>
        <v>0</v>
      </c>
      <c r="L223" s="3" t="n">
        <f aca="false">IF(E223="FINALIZED",ROUND(F223+G223+H223+I223,0),0)</f>
        <v>0</v>
      </c>
    </row>
    <row r="224" customFormat="false" ht="15" hidden="false" customHeight="true" outlineLevel="0" collapsed="false">
      <c r="A224" s="1" t="s">
        <v>86</v>
      </c>
      <c r="B224" s="1" t="s">
        <v>87</v>
      </c>
      <c r="C224" s="1" t="n">
        <v>2026</v>
      </c>
      <c r="D224" s="1" t="n">
        <v>7</v>
      </c>
      <c r="K224" s="3" t="n">
        <f aca="false">IF(E224="FINALIZED",ROUND(F224+G224+H224+I224,0),0)</f>
        <v>0</v>
      </c>
      <c r="L224" s="3" t="n">
        <f aca="false">IF(E224="FINALIZED",ROUND(F224+G224+H224+I224,0),0)</f>
        <v>0</v>
      </c>
    </row>
    <row r="225" customFormat="false" ht="15" hidden="false" customHeight="true" outlineLevel="0" collapsed="false">
      <c r="A225" s="1" t="s">
        <v>86</v>
      </c>
      <c r="B225" s="1" t="s">
        <v>87</v>
      </c>
      <c r="C225" s="1" t="n">
        <v>2026</v>
      </c>
      <c r="D225" s="1" t="n">
        <v>8</v>
      </c>
      <c r="K225" s="3" t="n">
        <f aca="false">IF(E225="FINALIZED",ROUND(F225+G225+H225+I225,0),0)</f>
        <v>0</v>
      </c>
      <c r="L225" s="3" t="n">
        <f aca="false">IF(E225="FINALIZED",ROUND(F225+G225+H225+I225,0),0)</f>
        <v>0</v>
      </c>
    </row>
    <row r="226" customFormat="false" ht="15" hidden="false" customHeight="true" outlineLevel="0" collapsed="false">
      <c r="A226" s="1" t="s">
        <v>86</v>
      </c>
      <c r="B226" s="1" t="s">
        <v>87</v>
      </c>
      <c r="C226" s="1" t="n">
        <v>2026</v>
      </c>
      <c r="D226" s="1" t="n">
        <v>9</v>
      </c>
      <c r="K226" s="3" t="n">
        <f aca="false">IF(E226="FINALIZED",ROUND(F226+G226+H226+I226,0),0)</f>
        <v>0</v>
      </c>
      <c r="L226" s="3" t="n">
        <f aca="false">IF(E226="FINALIZED",ROUND(F226+G226+H226+I226,0),0)</f>
        <v>0</v>
      </c>
    </row>
    <row r="227" customFormat="false" ht="15" hidden="false" customHeight="true" outlineLevel="0" collapsed="false">
      <c r="A227" s="1" t="s">
        <v>86</v>
      </c>
      <c r="B227" s="1" t="s">
        <v>87</v>
      </c>
      <c r="C227" s="1" t="n">
        <v>2026</v>
      </c>
      <c r="D227" s="1" t="n">
        <v>10</v>
      </c>
      <c r="K227" s="3" t="n">
        <f aca="false">IF(E227="FINALIZED",ROUND(F227+G227+H227+I227,0),0)</f>
        <v>0</v>
      </c>
      <c r="L227" s="3" t="n">
        <f aca="false">IF(E227="FINALIZED",ROUND(F227+G227+H227+I227,0),0)</f>
        <v>0</v>
      </c>
    </row>
    <row r="228" customFormat="false" ht="15" hidden="false" customHeight="true" outlineLevel="0" collapsed="false">
      <c r="A228" s="1" t="s">
        <v>86</v>
      </c>
      <c r="B228" s="1" t="s">
        <v>87</v>
      </c>
      <c r="C228" s="1" t="n">
        <v>2026</v>
      </c>
      <c r="D228" s="1" t="n">
        <v>11</v>
      </c>
      <c r="K228" s="3" t="n">
        <f aca="false">IF(E228="FINALIZED",ROUND(F228+G228+H228+I228,0),0)</f>
        <v>0</v>
      </c>
      <c r="L228" s="3" t="n">
        <f aca="false">IF(E228="FINALIZED",ROUND(F228+G228+H228+I228,0),0)</f>
        <v>0</v>
      </c>
    </row>
    <row r="229" customFormat="false" ht="15" hidden="false" customHeight="true" outlineLevel="0" collapsed="false">
      <c r="A229" s="1" t="s">
        <v>86</v>
      </c>
      <c r="B229" s="1" t="s">
        <v>87</v>
      </c>
      <c r="C229" s="1" t="n">
        <v>2026</v>
      </c>
      <c r="D229" s="1" t="n">
        <v>12</v>
      </c>
      <c r="K229" s="3" t="n">
        <f aca="false">IF(E229="FINALIZED",ROUND(F229+G229+H229+I229,0),0)</f>
        <v>0</v>
      </c>
      <c r="L229" s="3" t="n">
        <f aca="false">IF(E229="FINALIZED",ROUND(F229+G229+H229+I229,0),0)</f>
        <v>0</v>
      </c>
    </row>
    <row r="230" customFormat="false" ht="15" hidden="false" customHeight="true" outlineLevel="0" collapsed="false">
      <c r="A230" s="1" t="s">
        <v>88</v>
      </c>
      <c r="B230" s="1" t="s">
        <v>87</v>
      </c>
      <c r="C230" s="1" t="n">
        <v>2026</v>
      </c>
      <c r="D230" s="1" t="n">
        <v>1</v>
      </c>
      <c r="K230" s="3" t="n">
        <f aca="false">IF(E230="FINALIZED",ROUND(F230+G230+H230+I230,0),0)</f>
        <v>0</v>
      </c>
      <c r="L230" s="3" t="n">
        <f aca="false">IF(E230="FINALIZED",ROUND(F230+G230+H230+I230,0),0)</f>
        <v>0</v>
      </c>
    </row>
    <row r="231" customFormat="false" ht="15" hidden="false" customHeight="true" outlineLevel="0" collapsed="false">
      <c r="A231" s="1" t="s">
        <v>88</v>
      </c>
      <c r="B231" s="1" t="s">
        <v>87</v>
      </c>
      <c r="C231" s="1" t="n">
        <v>2026</v>
      </c>
      <c r="D231" s="1" t="n">
        <v>2</v>
      </c>
      <c r="K231" s="3" t="n">
        <f aca="false">IF(E231="FINALIZED",ROUND(F231+G231+H231+I231,0),0)</f>
        <v>0</v>
      </c>
      <c r="L231" s="3" t="n">
        <f aca="false">IF(E231="FINALIZED",ROUND(F231+G231+H231+I231,0),0)</f>
        <v>0</v>
      </c>
    </row>
    <row r="232" customFormat="false" ht="15" hidden="false" customHeight="true" outlineLevel="0" collapsed="false">
      <c r="A232" s="1" t="s">
        <v>88</v>
      </c>
      <c r="B232" s="1" t="s">
        <v>87</v>
      </c>
      <c r="C232" s="1" t="n">
        <v>2026</v>
      </c>
      <c r="D232" s="1" t="n">
        <v>3</v>
      </c>
      <c r="K232" s="3" t="n">
        <f aca="false">IF(E232="FINALIZED",ROUND(F232+G232+H232+I232,0),0)</f>
        <v>0</v>
      </c>
      <c r="L232" s="3" t="n">
        <f aca="false">IF(E232="FINALIZED",ROUND(F232+G232+H232+I232,0),0)</f>
        <v>0</v>
      </c>
    </row>
    <row r="233" customFormat="false" ht="15" hidden="false" customHeight="true" outlineLevel="0" collapsed="false">
      <c r="A233" s="1" t="s">
        <v>88</v>
      </c>
      <c r="B233" s="1" t="s">
        <v>87</v>
      </c>
      <c r="C233" s="1" t="n">
        <v>2026</v>
      </c>
      <c r="D233" s="1" t="n">
        <v>4</v>
      </c>
      <c r="K233" s="3" t="n">
        <f aca="false">IF(E233="FINALIZED",ROUND(F233+G233+H233+I233,0),0)</f>
        <v>0</v>
      </c>
      <c r="L233" s="3" t="n">
        <f aca="false">IF(E233="FINALIZED",ROUND(F233+G233+H233+I233,0),0)</f>
        <v>0</v>
      </c>
    </row>
    <row r="234" customFormat="false" ht="15" hidden="false" customHeight="true" outlineLevel="0" collapsed="false">
      <c r="A234" s="1" t="s">
        <v>88</v>
      </c>
      <c r="B234" s="1" t="s">
        <v>87</v>
      </c>
      <c r="C234" s="1" t="n">
        <v>2026</v>
      </c>
      <c r="D234" s="1" t="n">
        <v>5</v>
      </c>
      <c r="K234" s="3" t="n">
        <f aca="false">IF(E234="FINALIZED",ROUND(F234+G234+H234+I234,0),0)</f>
        <v>0</v>
      </c>
      <c r="L234" s="3" t="n">
        <f aca="false">IF(E234="FINALIZED",ROUND(F234+G234+H234+I234,0),0)</f>
        <v>0</v>
      </c>
    </row>
    <row r="235" customFormat="false" ht="15" hidden="false" customHeight="true" outlineLevel="0" collapsed="false">
      <c r="A235" s="1" t="s">
        <v>88</v>
      </c>
      <c r="B235" s="1" t="s">
        <v>87</v>
      </c>
      <c r="C235" s="1" t="n">
        <v>2026</v>
      </c>
      <c r="D235" s="1" t="n">
        <v>6</v>
      </c>
      <c r="K235" s="3" t="n">
        <f aca="false">IF(E235="FINALIZED",ROUND(F235+G235+H235+I235,0),0)</f>
        <v>0</v>
      </c>
      <c r="L235" s="3" t="n">
        <f aca="false">IF(E235="FINALIZED",ROUND(F235+G235+H235+I235,0),0)</f>
        <v>0</v>
      </c>
    </row>
    <row r="236" customFormat="false" ht="15" hidden="false" customHeight="true" outlineLevel="0" collapsed="false">
      <c r="A236" s="1" t="s">
        <v>88</v>
      </c>
      <c r="B236" s="1" t="s">
        <v>87</v>
      </c>
      <c r="C236" s="1" t="n">
        <v>2026</v>
      </c>
      <c r="D236" s="1" t="n">
        <v>7</v>
      </c>
      <c r="K236" s="3" t="n">
        <f aca="false">IF(E236="FINALIZED",ROUND(F236+G236+H236+I236,0),0)</f>
        <v>0</v>
      </c>
      <c r="L236" s="3" t="n">
        <f aca="false">IF(E236="FINALIZED",ROUND(F236+G236+H236+I236,0),0)</f>
        <v>0</v>
      </c>
    </row>
    <row r="237" customFormat="false" ht="15" hidden="false" customHeight="true" outlineLevel="0" collapsed="false">
      <c r="A237" s="1" t="s">
        <v>88</v>
      </c>
      <c r="B237" s="1" t="s">
        <v>87</v>
      </c>
      <c r="C237" s="1" t="n">
        <v>2026</v>
      </c>
      <c r="D237" s="1" t="n">
        <v>8</v>
      </c>
      <c r="K237" s="3" t="n">
        <f aca="false">IF(E237="FINALIZED",ROUND(F237+G237+H237+I237,0),0)</f>
        <v>0</v>
      </c>
      <c r="L237" s="3" t="n">
        <f aca="false">IF(E237="FINALIZED",ROUND(F237+G237+H237+I237,0),0)</f>
        <v>0</v>
      </c>
    </row>
    <row r="238" customFormat="false" ht="15" hidden="false" customHeight="true" outlineLevel="0" collapsed="false">
      <c r="A238" s="1" t="s">
        <v>88</v>
      </c>
      <c r="B238" s="1" t="s">
        <v>87</v>
      </c>
      <c r="C238" s="1" t="n">
        <v>2026</v>
      </c>
      <c r="D238" s="1" t="n">
        <v>9</v>
      </c>
      <c r="K238" s="3" t="n">
        <f aca="false">IF(E238="FINALIZED",ROUND(F238+G238+H238+I238,0),0)</f>
        <v>0</v>
      </c>
      <c r="L238" s="3" t="n">
        <f aca="false">IF(E238="FINALIZED",ROUND(F238+G238+H238+I238,0),0)</f>
        <v>0</v>
      </c>
    </row>
    <row r="239" customFormat="false" ht="15" hidden="false" customHeight="true" outlineLevel="0" collapsed="false">
      <c r="A239" s="1" t="s">
        <v>88</v>
      </c>
      <c r="B239" s="1" t="s">
        <v>87</v>
      </c>
      <c r="C239" s="1" t="n">
        <v>2026</v>
      </c>
      <c r="D239" s="1" t="n">
        <v>10</v>
      </c>
      <c r="K239" s="3" t="n">
        <f aca="false">IF(E239="FINALIZED",ROUND(F239+G239+H239+I239,0),0)</f>
        <v>0</v>
      </c>
      <c r="L239" s="3" t="n">
        <f aca="false">IF(E239="FINALIZED",ROUND(F239+G239+H239+I239,0),0)</f>
        <v>0</v>
      </c>
    </row>
    <row r="240" customFormat="false" ht="15" hidden="false" customHeight="true" outlineLevel="0" collapsed="false">
      <c r="A240" s="1" t="s">
        <v>88</v>
      </c>
      <c r="B240" s="1" t="s">
        <v>87</v>
      </c>
      <c r="C240" s="1" t="n">
        <v>2026</v>
      </c>
      <c r="D240" s="1" t="n">
        <v>11</v>
      </c>
      <c r="K240" s="3" t="n">
        <f aca="false">IF(E240="FINALIZED",ROUND(F240+G240+H240+I240,0),0)</f>
        <v>0</v>
      </c>
      <c r="L240" s="3" t="n">
        <f aca="false">IF(E240="FINALIZED",ROUND(F240+G240+H240+I240,0),0)</f>
        <v>0</v>
      </c>
    </row>
    <row r="241" customFormat="false" ht="15" hidden="false" customHeight="true" outlineLevel="0" collapsed="false">
      <c r="A241" s="1" t="s">
        <v>88</v>
      </c>
      <c r="B241" s="1" t="s">
        <v>87</v>
      </c>
      <c r="C241" s="1" t="n">
        <v>2026</v>
      </c>
      <c r="D241" s="1" t="n">
        <v>12</v>
      </c>
      <c r="K241" s="3" t="n">
        <f aca="false">IF(E241="FINALIZED",ROUND(F241+G241+H241+I241,0),0)</f>
        <v>0</v>
      </c>
      <c r="L241" s="3" t="n">
        <f aca="false">IF(E241="FINALIZED",ROUND(F241+G241+H241+I241,0),0)</f>
        <v>0</v>
      </c>
    </row>
  </sheetData>
  <autoFilter ref="A1:N24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2" min="1" style="1" width="18.83"/>
    <col collapsed="false" customWidth="true" hidden="false" outlineLevel="0" max="3" min="3" style="1" width="45.83"/>
    <col collapsed="false" customWidth="true" hidden="false" outlineLevel="0" max="35" min="4" style="1" width="18.83"/>
    <col collapsed="false" customWidth="true" hidden="false" outlineLevel="0" max="36" min="36" style="1" width="42.83"/>
    <col collapsed="false" customWidth="true" hidden="false" outlineLevel="0" max="37" min="37" style="1" width="30.83"/>
  </cols>
  <sheetData>
    <row r="1" customFormat="false" ht="15" hidden="false" customHeight="true" outlineLevel="0" collapsed="false">
      <c r="A1" s="2" t="s">
        <v>53</v>
      </c>
      <c r="B1" s="2" t="s">
        <v>54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</row>
    <row r="2" customFormat="false" ht="15" hidden="false" customHeight="true" outlineLevel="0" collapsed="false">
      <c r="A2" s="1" t="s">
        <v>67</v>
      </c>
      <c r="B2" s="1" t="s">
        <v>68</v>
      </c>
      <c r="C2" s="1" t="s">
        <v>124</v>
      </c>
      <c r="F2" s="1" t="s">
        <v>4</v>
      </c>
      <c r="G2" s="4" t="n">
        <f aca="false">IF(OR(E2="",E2&gt;F2),0,DATEDIF(E2,F2,"m"))</f>
        <v>0</v>
      </c>
      <c r="I2" s="5" t="n">
        <f aca="false">COUNTIFS(Périodes!$A:$A,A2,Périodes!$E:$E,"FINALIZED")</f>
        <v>0</v>
      </c>
      <c r="L2" s="3" t="str">
        <f aca="false">IF(OR(J2="",K2=""),"",ROUND(J2+K2,0))</f>
        <v/>
      </c>
      <c r="M2" s="3" t="str">
        <f aca="false">IF(I2=0,IF(L2="","",L2*12),SUMIFS(Périodes!$K:$K,Périodes!$A:$A,A2,Périodes!$E:$E,"FINALIZED"))</f>
        <v/>
      </c>
      <c r="N2" s="3" t="str">
        <f aca="false">IF(I2=0,L2,ROUND(M2/I2,0))</f>
        <v/>
      </c>
      <c r="O2" s="4" t="str">
        <f aca="false">IF(H2="","",ROUND(H2*2.2,2))</f>
        <v/>
      </c>
      <c r="P2" s="4" t="n">
        <f aca="false">IF(G2&gt;=360,8,IF(G2&gt;=300,7,IF(G2&gt;=240,5,IF(G2&gt;=180,3,IF(G2&gt;=120,2,IF(G2&gt;=60,1,0))))))</f>
        <v>0</v>
      </c>
      <c r="Q2" s="4" t="str">
        <f aca="false">IF(O2="","",CEILING(O2,1)+P2)</f>
        <v/>
      </c>
      <c r="V2" s="4" t="str">
        <f aca="false">IF(Q2="","",ROUND(R2+S2+Q2-T2-U2,2))</f>
        <v/>
      </c>
      <c r="W2" s="3" t="str">
        <f aca="false">IF(N2="","",ROUND(N2/26,0))</f>
        <v/>
      </c>
      <c r="X2" s="3" t="str">
        <f aca="false">IF(OR(W2="",V2=""),"",ROUND(MAX(0,V2)*W2,0))</f>
        <v/>
      </c>
      <c r="Y2" s="3" t="str">
        <f aca="false">IF(OR(M2="",Q2="",Q2=0,V2=""),"",ROUND(M2*10%*MAX(0,V2)/MAX(Q2,1),0))</f>
        <v/>
      </c>
      <c r="Z2" s="1" t="str">
        <f aca="false">IF(OR(X2="",Y2=""),"",IF(Y2&gt;X2,"TENTH","SALARY_MAINTENANCE"))</f>
        <v/>
      </c>
      <c r="AA2" s="3" t="str">
        <f aca="false">IF(OR(X2="",Y2=""),"",MAX(X2,Y2))</f>
        <v/>
      </c>
      <c r="AB2" s="4" t="n">
        <f aca="false">IF(G2&lt;12,0,MIN(G2,60))</f>
        <v>0</v>
      </c>
      <c r="AC2" s="3" t="str">
        <f aca="false">IF(N2="","",ROUND(N2*(AB2/12)*30%,0))</f>
        <v/>
      </c>
      <c r="AD2" s="4" t="n">
        <f aca="false">IF(G2&lt;12,0,MAX(0,MIN(G2-60,60)))</f>
        <v>0</v>
      </c>
      <c r="AE2" s="3" t="str">
        <f aca="false">IF(N2="","",ROUND(N2*(AD2/12)*35%,0))</f>
        <v/>
      </c>
      <c r="AF2" s="4" t="n">
        <f aca="false">IF(G2&lt;12,0,MAX(0,G2-120))</f>
        <v>0</v>
      </c>
      <c r="AG2" s="3" t="str">
        <f aca="false">IF(N2="","",ROUND(N2*(AF2/12)*40%,0))</f>
        <v/>
      </c>
      <c r="AH2" s="3" t="str">
        <f aca="false">IF(OR(AC2="",AE2="",AG2=""),"",AC2+AE2+AG2)</f>
        <v/>
      </c>
    </row>
    <row r="3" customFormat="false" ht="15" hidden="false" customHeight="true" outlineLevel="0" collapsed="false">
      <c r="A3" s="1" t="s">
        <v>69</v>
      </c>
      <c r="B3" s="1" t="s">
        <v>68</v>
      </c>
      <c r="C3" s="1" t="s">
        <v>125</v>
      </c>
      <c r="F3" s="1" t="s">
        <v>4</v>
      </c>
      <c r="G3" s="4" t="n">
        <f aca="false">IF(OR(E3="",E3&gt;F3),0,DATEDIF(E3,F3,"m"))</f>
        <v>0</v>
      </c>
      <c r="I3" s="5" t="n">
        <f aca="false">COUNTIFS(Périodes!$A:$A,A3,Périodes!$E:$E,"FINALIZED")</f>
        <v>0</v>
      </c>
      <c r="L3" s="3" t="str">
        <f aca="false">IF(OR(J3="",K3=""),"",ROUND(J3+K3,0))</f>
        <v/>
      </c>
      <c r="M3" s="3" t="str">
        <f aca="false">IF(I3=0,IF(L3="","",L3*12),SUMIFS(Périodes!$K:$K,Périodes!$A:$A,A3,Périodes!$E:$E,"FINALIZED"))</f>
        <v/>
      </c>
      <c r="N3" s="3" t="str">
        <f aca="false">IF(I3=0,L3,ROUND(M3/I3,0))</f>
        <v/>
      </c>
      <c r="O3" s="4" t="str">
        <f aca="false">IF(H3="","",ROUND(H3*2.2,2))</f>
        <v/>
      </c>
      <c r="P3" s="4" t="n">
        <f aca="false">IF(G3&gt;=360,8,IF(G3&gt;=300,7,IF(G3&gt;=240,5,IF(G3&gt;=180,3,IF(G3&gt;=120,2,IF(G3&gt;=60,1,0))))))</f>
        <v>0</v>
      </c>
      <c r="Q3" s="4" t="str">
        <f aca="false">IF(O3="","",CEILING(O3,1)+P3)</f>
        <v/>
      </c>
      <c r="V3" s="4" t="str">
        <f aca="false">IF(Q3="","",ROUND(R3+S3+Q3-T3-U3,2))</f>
        <v/>
      </c>
      <c r="W3" s="3" t="str">
        <f aca="false">IF(N3="","",ROUND(N3/26,0))</f>
        <v/>
      </c>
      <c r="X3" s="3" t="str">
        <f aca="false">IF(OR(W3="",V3=""),"",ROUND(MAX(0,V3)*W3,0))</f>
        <v/>
      </c>
      <c r="Y3" s="3" t="str">
        <f aca="false">IF(OR(M3="",Q3="",Q3=0,V3=""),"",ROUND(M3*10%*MAX(0,V3)/MAX(Q3,1),0))</f>
        <v/>
      </c>
      <c r="Z3" s="1" t="str">
        <f aca="false">IF(OR(X3="",Y3=""),"",IF(Y3&gt;X3,"TENTH","SALARY_MAINTENANCE"))</f>
        <v/>
      </c>
      <c r="AA3" s="3" t="str">
        <f aca="false">IF(OR(X3="",Y3=""),"",MAX(X3,Y3))</f>
        <v/>
      </c>
      <c r="AB3" s="4" t="n">
        <f aca="false">IF(G3&lt;12,0,MIN(G3,60))</f>
        <v>0</v>
      </c>
      <c r="AC3" s="3" t="str">
        <f aca="false">IF(N3="","",ROUND(N3*(AB3/12)*30%,0))</f>
        <v/>
      </c>
      <c r="AD3" s="4" t="n">
        <f aca="false">IF(G3&lt;12,0,MAX(0,MIN(G3-60,60)))</f>
        <v>0</v>
      </c>
      <c r="AE3" s="3" t="str">
        <f aca="false">IF(N3="","",ROUND(N3*(AD3/12)*35%,0))</f>
        <v/>
      </c>
      <c r="AF3" s="4" t="n">
        <f aca="false">IF(G3&lt;12,0,MAX(0,G3-120))</f>
        <v>0</v>
      </c>
      <c r="AG3" s="3" t="str">
        <f aca="false">IF(N3="","",ROUND(N3*(AF3/12)*40%,0))</f>
        <v/>
      </c>
      <c r="AH3" s="3" t="str">
        <f aca="false">IF(OR(AC3="",AE3="",AG3=""),"",AC3+AE3+AG3)</f>
        <v/>
      </c>
    </row>
    <row r="4" customFormat="false" ht="15" hidden="false" customHeight="true" outlineLevel="0" collapsed="false">
      <c r="A4" s="1" t="s">
        <v>70</v>
      </c>
      <c r="B4" s="1" t="s">
        <v>68</v>
      </c>
      <c r="C4" s="1" t="s">
        <v>126</v>
      </c>
      <c r="F4" s="1" t="s">
        <v>4</v>
      </c>
      <c r="G4" s="4" t="n">
        <f aca="false">IF(OR(E4="",E4&gt;F4),0,DATEDIF(E4,F4,"m"))</f>
        <v>0</v>
      </c>
      <c r="I4" s="5" t="n">
        <f aca="false">COUNTIFS(Périodes!$A:$A,A4,Périodes!$E:$E,"FINALIZED")</f>
        <v>0</v>
      </c>
      <c r="L4" s="3" t="str">
        <f aca="false">IF(OR(J4="",K4=""),"",ROUND(J4+K4,0))</f>
        <v/>
      </c>
      <c r="M4" s="3" t="str">
        <f aca="false">IF(I4=0,IF(L4="","",L4*12),SUMIFS(Périodes!$K:$K,Périodes!$A:$A,A4,Périodes!$E:$E,"FINALIZED"))</f>
        <v/>
      </c>
      <c r="N4" s="3" t="str">
        <f aca="false">IF(I4=0,L4,ROUND(M4/I4,0))</f>
        <v/>
      </c>
      <c r="O4" s="4" t="str">
        <f aca="false">IF(H4="","",ROUND(H4*2.2,2))</f>
        <v/>
      </c>
      <c r="P4" s="4" t="n">
        <f aca="false">IF(G4&gt;=360,8,IF(G4&gt;=300,7,IF(G4&gt;=240,5,IF(G4&gt;=180,3,IF(G4&gt;=120,2,IF(G4&gt;=60,1,0))))))</f>
        <v>0</v>
      </c>
      <c r="Q4" s="4" t="str">
        <f aca="false">IF(O4="","",CEILING(O4,1)+P4)</f>
        <v/>
      </c>
      <c r="V4" s="4" t="str">
        <f aca="false">IF(Q4="","",ROUND(R4+S4+Q4-T4-U4,2))</f>
        <v/>
      </c>
      <c r="W4" s="3" t="str">
        <f aca="false">IF(N4="","",ROUND(N4/26,0))</f>
        <v/>
      </c>
      <c r="X4" s="3" t="str">
        <f aca="false">IF(OR(W4="",V4=""),"",ROUND(MAX(0,V4)*W4,0))</f>
        <v/>
      </c>
      <c r="Y4" s="3" t="str">
        <f aca="false">IF(OR(M4="",Q4="",Q4=0,V4=""),"",ROUND(M4*10%*MAX(0,V4)/MAX(Q4,1),0))</f>
        <v/>
      </c>
      <c r="Z4" s="1" t="str">
        <f aca="false">IF(OR(X4="",Y4=""),"",IF(Y4&gt;X4,"TENTH","SALARY_MAINTENANCE"))</f>
        <v/>
      </c>
      <c r="AA4" s="3" t="str">
        <f aca="false">IF(OR(X4="",Y4=""),"",MAX(X4,Y4))</f>
        <v/>
      </c>
      <c r="AB4" s="4" t="n">
        <f aca="false">IF(G4&lt;12,0,MIN(G4,60))</f>
        <v>0</v>
      </c>
      <c r="AC4" s="3" t="str">
        <f aca="false">IF(N4="","",ROUND(N4*(AB4/12)*30%,0))</f>
        <v/>
      </c>
      <c r="AD4" s="4" t="n">
        <f aca="false">IF(G4&lt;12,0,MAX(0,MIN(G4-60,60)))</f>
        <v>0</v>
      </c>
      <c r="AE4" s="3" t="str">
        <f aca="false">IF(N4="","",ROUND(N4*(AD4/12)*35%,0))</f>
        <v/>
      </c>
      <c r="AF4" s="4" t="n">
        <f aca="false">IF(G4&lt;12,0,MAX(0,G4-120))</f>
        <v>0</v>
      </c>
      <c r="AG4" s="3" t="str">
        <f aca="false">IF(N4="","",ROUND(N4*(AF4/12)*40%,0))</f>
        <v/>
      </c>
      <c r="AH4" s="3" t="str">
        <f aca="false">IF(OR(AC4="",AE4="",AG4=""),"",AC4+AE4+AG4)</f>
        <v/>
      </c>
    </row>
    <row r="5" customFormat="false" ht="15" hidden="false" customHeight="true" outlineLevel="0" collapsed="false">
      <c r="A5" s="1" t="s">
        <v>71</v>
      </c>
      <c r="B5" s="1" t="s">
        <v>68</v>
      </c>
      <c r="C5" s="1" t="s">
        <v>127</v>
      </c>
      <c r="F5" s="1" t="s">
        <v>4</v>
      </c>
      <c r="G5" s="4" t="n">
        <f aca="false">IF(OR(E5="",E5&gt;F5),0,DATEDIF(E5,F5,"m"))</f>
        <v>0</v>
      </c>
      <c r="I5" s="5" t="n">
        <f aca="false">COUNTIFS(Périodes!$A:$A,A5,Périodes!$E:$E,"FINALIZED")</f>
        <v>0</v>
      </c>
      <c r="L5" s="3" t="str">
        <f aca="false">IF(OR(J5="",K5=""),"",ROUND(J5+K5,0))</f>
        <v/>
      </c>
      <c r="M5" s="3" t="str">
        <f aca="false">IF(I5=0,IF(L5="","",L5*12),SUMIFS(Périodes!$K:$K,Périodes!$A:$A,A5,Périodes!$E:$E,"FINALIZED"))</f>
        <v/>
      </c>
      <c r="N5" s="3" t="str">
        <f aca="false">IF(I5=0,L5,ROUND(M5/I5,0))</f>
        <v/>
      </c>
      <c r="O5" s="4" t="str">
        <f aca="false">IF(H5="","",ROUND(H5*2.2,2))</f>
        <v/>
      </c>
      <c r="P5" s="4" t="n">
        <f aca="false">IF(G5&gt;=360,8,IF(G5&gt;=300,7,IF(G5&gt;=240,5,IF(G5&gt;=180,3,IF(G5&gt;=120,2,IF(G5&gt;=60,1,0))))))</f>
        <v>0</v>
      </c>
      <c r="Q5" s="4" t="str">
        <f aca="false">IF(O5="","",CEILING(O5,1)+P5)</f>
        <v/>
      </c>
      <c r="V5" s="4" t="str">
        <f aca="false">IF(Q5="","",ROUND(R5+S5+Q5-T5-U5,2))</f>
        <v/>
      </c>
      <c r="W5" s="3" t="str">
        <f aca="false">IF(N5="","",ROUND(N5/26,0))</f>
        <v/>
      </c>
      <c r="X5" s="3" t="str">
        <f aca="false">IF(OR(W5="",V5=""),"",ROUND(MAX(0,V5)*W5,0))</f>
        <v/>
      </c>
      <c r="Y5" s="3" t="str">
        <f aca="false">IF(OR(M5="",Q5="",Q5=0,V5=""),"",ROUND(M5*10%*MAX(0,V5)/MAX(Q5,1),0))</f>
        <v/>
      </c>
      <c r="Z5" s="1" t="str">
        <f aca="false">IF(OR(X5="",Y5=""),"",IF(Y5&gt;X5,"TENTH","SALARY_MAINTENANCE"))</f>
        <v/>
      </c>
      <c r="AA5" s="3" t="str">
        <f aca="false">IF(OR(X5="",Y5=""),"",MAX(X5,Y5))</f>
        <v/>
      </c>
      <c r="AB5" s="4" t="n">
        <f aca="false">IF(G5&lt;12,0,MIN(G5,60))</f>
        <v>0</v>
      </c>
      <c r="AC5" s="3" t="str">
        <f aca="false">IF(N5="","",ROUND(N5*(AB5/12)*30%,0))</f>
        <v/>
      </c>
      <c r="AD5" s="4" t="n">
        <f aca="false">IF(G5&lt;12,0,MAX(0,MIN(G5-60,60)))</f>
        <v>0</v>
      </c>
      <c r="AE5" s="3" t="str">
        <f aca="false">IF(N5="","",ROUND(N5*(AD5/12)*35%,0))</f>
        <v/>
      </c>
      <c r="AF5" s="4" t="n">
        <f aca="false">IF(G5&lt;12,0,MAX(0,G5-120))</f>
        <v>0</v>
      </c>
      <c r="AG5" s="3" t="str">
        <f aca="false">IF(N5="","",ROUND(N5*(AF5/12)*40%,0))</f>
        <v/>
      </c>
      <c r="AH5" s="3" t="str">
        <f aca="false">IF(OR(AC5="",AE5="",AG5=""),"",AC5+AE5+AG5)</f>
        <v/>
      </c>
    </row>
    <row r="6" customFormat="false" ht="15" hidden="false" customHeight="true" outlineLevel="0" collapsed="false">
      <c r="A6" s="1" t="s">
        <v>72</v>
      </c>
      <c r="B6" s="1" t="s">
        <v>68</v>
      </c>
      <c r="C6" s="1" t="s">
        <v>128</v>
      </c>
      <c r="F6" s="1" t="s">
        <v>4</v>
      </c>
      <c r="G6" s="4" t="n">
        <f aca="false">IF(OR(E6="",E6&gt;F6),0,DATEDIF(E6,F6,"m"))</f>
        <v>0</v>
      </c>
      <c r="I6" s="5" t="n">
        <f aca="false">COUNTIFS(Périodes!$A:$A,A6,Périodes!$E:$E,"FINALIZED")</f>
        <v>0</v>
      </c>
      <c r="L6" s="3" t="str">
        <f aca="false">IF(OR(J6="",K6=""),"",ROUND(J6+K6,0))</f>
        <v/>
      </c>
      <c r="M6" s="3" t="str">
        <f aca="false">IF(I6=0,IF(L6="","",L6*12),SUMIFS(Périodes!$K:$K,Périodes!$A:$A,A6,Périodes!$E:$E,"FINALIZED"))</f>
        <v/>
      </c>
      <c r="N6" s="3" t="str">
        <f aca="false">IF(I6=0,L6,ROUND(M6/I6,0))</f>
        <v/>
      </c>
      <c r="O6" s="4" t="str">
        <f aca="false">IF(H6="","",ROUND(H6*2.2,2))</f>
        <v/>
      </c>
      <c r="P6" s="4" t="n">
        <f aca="false">IF(G6&gt;=360,8,IF(G6&gt;=300,7,IF(G6&gt;=240,5,IF(G6&gt;=180,3,IF(G6&gt;=120,2,IF(G6&gt;=60,1,0))))))</f>
        <v>0</v>
      </c>
      <c r="Q6" s="4" t="str">
        <f aca="false">IF(O6="","",CEILING(O6,1)+P6)</f>
        <v/>
      </c>
      <c r="V6" s="4" t="str">
        <f aca="false">IF(Q6="","",ROUND(R6+S6+Q6-T6-U6,2))</f>
        <v/>
      </c>
      <c r="W6" s="3" t="str">
        <f aca="false">IF(N6="","",ROUND(N6/26,0))</f>
        <v/>
      </c>
      <c r="X6" s="3" t="str">
        <f aca="false">IF(OR(W6="",V6=""),"",ROUND(MAX(0,V6)*W6,0))</f>
        <v/>
      </c>
      <c r="Y6" s="3" t="str">
        <f aca="false">IF(OR(M6="",Q6="",Q6=0,V6=""),"",ROUND(M6*10%*MAX(0,V6)/MAX(Q6,1),0))</f>
        <v/>
      </c>
      <c r="Z6" s="1" t="str">
        <f aca="false">IF(OR(X6="",Y6=""),"",IF(Y6&gt;X6,"TENTH","SALARY_MAINTENANCE"))</f>
        <v/>
      </c>
      <c r="AA6" s="3" t="str">
        <f aca="false">IF(OR(X6="",Y6=""),"",MAX(X6,Y6))</f>
        <v/>
      </c>
      <c r="AB6" s="4" t="n">
        <f aca="false">IF(G6&lt;12,0,MIN(G6,60))</f>
        <v>0</v>
      </c>
      <c r="AC6" s="3" t="str">
        <f aca="false">IF(N6="","",ROUND(N6*(AB6/12)*30%,0))</f>
        <v/>
      </c>
      <c r="AD6" s="4" t="n">
        <f aca="false">IF(G6&lt;12,0,MAX(0,MIN(G6-60,60)))</f>
        <v>0</v>
      </c>
      <c r="AE6" s="3" t="str">
        <f aca="false">IF(N6="","",ROUND(N6*(AD6/12)*35%,0))</f>
        <v/>
      </c>
      <c r="AF6" s="4" t="n">
        <f aca="false">IF(G6&lt;12,0,MAX(0,G6-120))</f>
        <v>0</v>
      </c>
      <c r="AG6" s="3" t="str">
        <f aca="false">IF(N6="","",ROUND(N6*(AF6/12)*40%,0))</f>
        <v/>
      </c>
      <c r="AH6" s="3" t="str">
        <f aca="false">IF(OR(AC6="",AE6="",AG6=""),"",AC6+AE6+AG6)</f>
        <v/>
      </c>
    </row>
    <row r="7" customFormat="false" ht="15" hidden="false" customHeight="true" outlineLevel="0" collapsed="false">
      <c r="A7" s="1" t="s">
        <v>73</v>
      </c>
      <c r="B7" s="1" t="s">
        <v>68</v>
      </c>
      <c r="C7" s="1" t="s">
        <v>129</v>
      </c>
      <c r="F7" s="1" t="s">
        <v>4</v>
      </c>
      <c r="G7" s="4" t="n">
        <f aca="false">IF(OR(E7="",E7&gt;F7),0,DATEDIF(E7,F7,"m"))</f>
        <v>0</v>
      </c>
      <c r="I7" s="5" t="n">
        <f aca="false">COUNTIFS(Périodes!$A:$A,A7,Périodes!$E:$E,"FINALIZED")</f>
        <v>0</v>
      </c>
      <c r="L7" s="3" t="str">
        <f aca="false">IF(OR(J7="",K7=""),"",ROUND(J7+K7,0))</f>
        <v/>
      </c>
      <c r="M7" s="3" t="str">
        <f aca="false">IF(I7=0,IF(L7="","",L7*12),SUMIFS(Périodes!$K:$K,Périodes!$A:$A,A7,Périodes!$E:$E,"FINALIZED"))</f>
        <v/>
      </c>
      <c r="N7" s="3" t="str">
        <f aca="false">IF(I7=0,L7,ROUND(M7/I7,0))</f>
        <v/>
      </c>
      <c r="O7" s="4" t="str">
        <f aca="false">IF(H7="","",ROUND(H7*2.2,2))</f>
        <v/>
      </c>
      <c r="P7" s="4" t="n">
        <f aca="false">IF(G7&gt;=360,8,IF(G7&gt;=300,7,IF(G7&gt;=240,5,IF(G7&gt;=180,3,IF(G7&gt;=120,2,IF(G7&gt;=60,1,0))))))</f>
        <v>0</v>
      </c>
      <c r="Q7" s="4" t="str">
        <f aca="false">IF(O7="","",CEILING(O7,1)+P7)</f>
        <v/>
      </c>
      <c r="V7" s="4" t="str">
        <f aca="false">IF(Q7="","",ROUND(R7+S7+Q7-T7-U7,2))</f>
        <v/>
      </c>
      <c r="W7" s="3" t="str">
        <f aca="false">IF(N7="","",ROUND(N7/26,0))</f>
        <v/>
      </c>
      <c r="X7" s="3" t="str">
        <f aca="false">IF(OR(W7="",V7=""),"",ROUND(MAX(0,V7)*W7,0))</f>
        <v/>
      </c>
      <c r="Y7" s="3" t="str">
        <f aca="false">IF(OR(M7="",Q7="",Q7=0,V7=""),"",ROUND(M7*10%*MAX(0,V7)/MAX(Q7,1),0))</f>
        <v/>
      </c>
      <c r="Z7" s="1" t="str">
        <f aca="false">IF(OR(X7="",Y7=""),"",IF(Y7&gt;X7,"TENTH","SALARY_MAINTENANCE"))</f>
        <v/>
      </c>
      <c r="AA7" s="3" t="str">
        <f aca="false">IF(OR(X7="",Y7=""),"",MAX(X7,Y7))</f>
        <v/>
      </c>
      <c r="AB7" s="4" t="n">
        <f aca="false">IF(G7&lt;12,0,MIN(G7,60))</f>
        <v>0</v>
      </c>
      <c r="AC7" s="3" t="str">
        <f aca="false">IF(N7="","",ROUND(N7*(AB7/12)*30%,0))</f>
        <v/>
      </c>
      <c r="AD7" s="4" t="n">
        <f aca="false">IF(G7&lt;12,0,MAX(0,MIN(G7-60,60)))</f>
        <v>0</v>
      </c>
      <c r="AE7" s="3" t="str">
        <f aca="false">IF(N7="","",ROUND(N7*(AD7/12)*35%,0))</f>
        <v/>
      </c>
      <c r="AF7" s="4" t="n">
        <f aca="false">IF(G7&lt;12,0,MAX(0,G7-120))</f>
        <v>0</v>
      </c>
      <c r="AG7" s="3" t="str">
        <f aca="false">IF(N7="","",ROUND(N7*(AF7/12)*40%,0))</f>
        <v/>
      </c>
      <c r="AH7" s="3" t="str">
        <f aca="false">IF(OR(AC7="",AE7="",AG7=""),"",AC7+AE7+AG7)</f>
        <v/>
      </c>
    </row>
    <row r="8" customFormat="false" ht="15" hidden="false" customHeight="true" outlineLevel="0" collapsed="false">
      <c r="A8" s="1" t="s">
        <v>74</v>
      </c>
      <c r="B8" s="1" t="s">
        <v>68</v>
      </c>
      <c r="C8" s="1" t="s">
        <v>130</v>
      </c>
      <c r="F8" s="1" t="s">
        <v>4</v>
      </c>
      <c r="G8" s="4" t="n">
        <f aca="false">IF(OR(E8="",E8&gt;F8),0,DATEDIF(E8,F8,"m"))</f>
        <v>0</v>
      </c>
      <c r="I8" s="5" t="n">
        <f aca="false">COUNTIFS(Périodes!$A:$A,A8,Périodes!$E:$E,"FINALIZED")</f>
        <v>0</v>
      </c>
      <c r="L8" s="3" t="str">
        <f aca="false">IF(OR(J8="",K8=""),"",ROUND(J8+K8,0))</f>
        <v/>
      </c>
      <c r="M8" s="3" t="str">
        <f aca="false">IF(I8=0,IF(L8="","",L8*12),SUMIFS(Périodes!$K:$K,Périodes!$A:$A,A8,Périodes!$E:$E,"FINALIZED"))</f>
        <v/>
      </c>
      <c r="N8" s="3" t="str">
        <f aca="false">IF(I8=0,L8,ROUND(M8/I8,0))</f>
        <v/>
      </c>
      <c r="O8" s="4" t="str">
        <f aca="false">IF(H8="","",ROUND(H8*2.2,2))</f>
        <v/>
      </c>
      <c r="P8" s="4" t="n">
        <f aca="false">IF(G8&gt;=360,8,IF(G8&gt;=300,7,IF(G8&gt;=240,5,IF(G8&gt;=180,3,IF(G8&gt;=120,2,IF(G8&gt;=60,1,0))))))</f>
        <v>0</v>
      </c>
      <c r="Q8" s="4" t="str">
        <f aca="false">IF(O8="","",CEILING(O8,1)+P8)</f>
        <v/>
      </c>
      <c r="V8" s="4" t="str">
        <f aca="false">IF(Q8="","",ROUND(R8+S8+Q8-T8-U8,2))</f>
        <v/>
      </c>
      <c r="W8" s="3" t="str">
        <f aca="false">IF(N8="","",ROUND(N8/26,0))</f>
        <v/>
      </c>
      <c r="X8" s="3" t="str">
        <f aca="false">IF(OR(W8="",V8=""),"",ROUND(MAX(0,V8)*W8,0))</f>
        <v/>
      </c>
      <c r="Y8" s="3" t="str">
        <f aca="false">IF(OR(M8="",Q8="",Q8=0,V8=""),"",ROUND(M8*10%*MAX(0,V8)/MAX(Q8,1),0))</f>
        <v/>
      </c>
      <c r="Z8" s="1" t="str">
        <f aca="false">IF(OR(X8="",Y8=""),"",IF(Y8&gt;X8,"TENTH","SALARY_MAINTENANCE"))</f>
        <v/>
      </c>
      <c r="AA8" s="3" t="str">
        <f aca="false">IF(OR(X8="",Y8=""),"",MAX(X8,Y8))</f>
        <v/>
      </c>
      <c r="AB8" s="4" t="n">
        <f aca="false">IF(G8&lt;12,0,MIN(G8,60))</f>
        <v>0</v>
      </c>
      <c r="AC8" s="3" t="str">
        <f aca="false">IF(N8="","",ROUND(N8*(AB8/12)*30%,0))</f>
        <v/>
      </c>
      <c r="AD8" s="4" t="n">
        <f aca="false">IF(G8&lt;12,0,MAX(0,MIN(G8-60,60)))</f>
        <v>0</v>
      </c>
      <c r="AE8" s="3" t="str">
        <f aca="false">IF(N8="","",ROUND(N8*(AD8/12)*35%,0))</f>
        <v/>
      </c>
      <c r="AF8" s="4" t="n">
        <f aca="false">IF(G8&lt;12,0,MAX(0,G8-120))</f>
        <v>0</v>
      </c>
      <c r="AG8" s="3" t="str">
        <f aca="false">IF(N8="","",ROUND(N8*(AF8/12)*40%,0))</f>
        <v/>
      </c>
      <c r="AH8" s="3" t="str">
        <f aca="false">IF(OR(AC8="",AE8="",AG8=""),"",AC8+AE8+AG8)</f>
        <v/>
      </c>
    </row>
    <row r="9" customFormat="false" ht="15" hidden="false" customHeight="true" outlineLevel="0" collapsed="false">
      <c r="A9" s="1" t="s">
        <v>75</v>
      </c>
      <c r="B9" s="1" t="s">
        <v>68</v>
      </c>
      <c r="C9" s="1" t="s">
        <v>131</v>
      </c>
      <c r="F9" s="1" t="s">
        <v>4</v>
      </c>
      <c r="G9" s="4" t="n">
        <f aca="false">IF(OR(E9="",E9&gt;F9),0,DATEDIF(E9,F9,"m"))</f>
        <v>0</v>
      </c>
      <c r="I9" s="5" t="n">
        <f aca="false">COUNTIFS(Périodes!$A:$A,A9,Périodes!$E:$E,"FINALIZED")</f>
        <v>0</v>
      </c>
      <c r="L9" s="3" t="str">
        <f aca="false">IF(OR(J9="",K9=""),"",ROUND(J9+K9,0))</f>
        <v/>
      </c>
      <c r="M9" s="3" t="str">
        <f aca="false">IF(I9=0,IF(L9="","",L9*12),SUMIFS(Périodes!$K:$K,Périodes!$A:$A,A9,Périodes!$E:$E,"FINALIZED"))</f>
        <v/>
      </c>
      <c r="N9" s="3" t="str">
        <f aca="false">IF(I9=0,L9,ROUND(M9/I9,0))</f>
        <v/>
      </c>
      <c r="O9" s="4" t="str">
        <f aca="false">IF(H9="","",ROUND(H9*2.2,2))</f>
        <v/>
      </c>
      <c r="P9" s="4" t="n">
        <f aca="false">IF(G9&gt;=360,8,IF(G9&gt;=300,7,IF(G9&gt;=240,5,IF(G9&gt;=180,3,IF(G9&gt;=120,2,IF(G9&gt;=60,1,0))))))</f>
        <v>0</v>
      </c>
      <c r="Q9" s="4" t="str">
        <f aca="false">IF(O9="","",CEILING(O9,1)+P9)</f>
        <v/>
      </c>
      <c r="V9" s="4" t="str">
        <f aca="false">IF(Q9="","",ROUND(R9+S9+Q9-T9-U9,2))</f>
        <v/>
      </c>
      <c r="W9" s="3" t="str">
        <f aca="false">IF(N9="","",ROUND(N9/26,0))</f>
        <v/>
      </c>
      <c r="X9" s="3" t="str">
        <f aca="false">IF(OR(W9="",V9=""),"",ROUND(MAX(0,V9)*W9,0))</f>
        <v/>
      </c>
      <c r="Y9" s="3" t="str">
        <f aca="false">IF(OR(M9="",Q9="",Q9=0,V9=""),"",ROUND(M9*10%*MAX(0,V9)/MAX(Q9,1),0))</f>
        <v/>
      </c>
      <c r="Z9" s="1" t="str">
        <f aca="false">IF(OR(X9="",Y9=""),"",IF(Y9&gt;X9,"TENTH","SALARY_MAINTENANCE"))</f>
        <v/>
      </c>
      <c r="AA9" s="3" t="str">
        <f aca="false">IF(OR(X9="",Y9=""),"",MAX(X9,Y9))</f>
        <v/>
      </c>
      <c r="AB9" s="4" t="n">
        <f aca="false">IF(G9&lt;12,0,MIN(G9,60))</f>
        <v>0</v>
      </c>
      <c r="AC9" s="3" t="str">
        <f aca="false">IF(N9="","",ROUND(N9*(AB9/12)*30%,0))</f>
        <v/>
      </c>
      <c r="AD9" s="4" t="n">
        <f aca="false">IF(G9&lt;12,0,MAX(0,MIN(G9-60,60)))</f>
        <v>0</v>
      </c>
      <c r="AE9" s="3" t="str">
        <f aca="false">IF(N9="","",ROUND(N9*(AD9/12)*35%,0))</f>
        <v/>
      </c>
      <c r="AF9" s="4" t="n">
        <f aca="false">IF(G9&lt;12,0,MAX(0,G9-120))</f>
        <v>0</v>
      </c>
      <c r="AG9" s="3" t="str">
        <f aca="false">IF(N9="","",ROUND(N9*(AF9/12)*40%,0))</f>
        <v/>
      </c>
      <c r="AH9" s="3" t="str">
        <f aca="false">IF(OR(AC9="",AE9="",AG9=""),"",AC9+AE9+AG9)</f>
        <v/>
      </c>
    </row>
    <row r="10" customFormat="false" ht="15" hidden="false" customHeight="true" outlineLevel="0" collapsed="false">
      <c r="A10" s="1" t="s">
        <v>76</v>
      </c>
      <c r="B10" s="1" t="s">
        <v>68</v>
      </c>
      <c r="C10" s="1" t="s">
        <v>132</v>
      </c>
      <c r="F10" s="1" t="s">
        <v>4</v>
      </c>
      <c r="G10" s="4" t="n">
        <f aca="false">IF(OR(E10="",E10&gt;F10),0,DATEDIF(E10,F10,"m"))</f>
        <v>0</v>
      </c>
      <c r="I10" s="5" t="n">
        <f aca="false">COUNTIFS(Périodes!$A:$A,A10,Périodes!$E:$E,"FINALIZED")</f>
        <v>0</v>
      </c>
      <c r="L10" s="3" t="str">
        <f aca="false">IF(OR(J10="",K10=""),"",ROUND(J10+K10,0))</f>
        <v/>
      </c>
      <c r="M10" s="3" t="str">
        <f aca="false">IF(I10=0,IF(L10="","",L10*12),SUMIFS(Périodes!$K:$K,Périodes!$A:$A,A10,Périodes!$E:$E,"FINALIZED"))</f>
        <v/>
      </c>
      <c r="N10" s="3" t="str">
        <f aca="false">IF(I10=0,L10,ROUND(M10/I10,0))</f>
        <v/>
      </c>
      <c r="O10" s="4" t="str">
        <f aca="false">IF(H10="","",ROUND(H10*2.2,2))</f>
        <v/>
      </c>
      <c r="P10" s="4" t="n">
        <f aca="false">IF(G10&gt;=360,8,IF(G10&gt;=300,7,IF(G10&gt;=240,5,IF(G10&gt;=180,3,IF(G10&gt;=120,2,IF(G10&gt;=60,1,0))))))</f>
        <v>0</v>
      </c>
      <c r="Q10" s="4" t="str">
        <f aca="false">IF(O10="","",CEILING(O10,1)+P10)</f>
        <v/>
      </c>
      <c r="V10" s="4" t="str">
        <f aca="false">IF(Q10="","",ROUND(R10+S10+Q10-T10-U10,2))</f>
        <v/>
      </c>
      <c r="W10" s="3" t="str">
        <f aca="false">IF(N10="","",ROUND(N10/26,0))</f>
        <v/>
      </c>
      <c r="X10" s="3" t="str">
        <f aca="false">IF(OR(W10="",V10=""),"",ROUND(MAX(0,V10)*W10,0))</f>
        <v/>
      </c>
      <c r="Y10" s="3" t="str">
        <f aca="false">IF(OR(M10="",Q10="",Q10=0,V10=""),"",ROUND(M10*10%*MAX(0,V10)/MAX(Q10,1),0))</f>
        <v/>
      </c>
      <c r="Z10" s="1" t="str">
        <f aca="false">IF(OR(X10="",Y10=""),"",IF(Y10&gt;X10,"TENTH","SALARY_MAINTENANCE"))</f>
        <v/>
      </c>
      <c r="AA10" s="3" t="str">
        <f aca="false">IF(OR(X10="",Y10=""),"",MAX(X10,Y10))</f>
        <v/>
      </c>
      <c r="AB10" s="4" t="n">
        <f aca="false">IF(G10&lt;12,0,MIN(G10,60))</f>
        <v>0</v>
      </c>
      <c r="AC10" s="3" t="str">
        <f aca="false">IF(N10="","",ROUND(N10*(AB10/12)*30%,0))</f>
        <v/>
      </c>
      <c r="AD10" s="4" t="n">
        <f aca="false">IF(G10&lt;12,0,MAX(0,MIN(G10-60,60)))</f>
        <v>0</v>
      </c>
      <c r="AE10" s="3" t="str">
        <f aca="false">IF(N10="","",ROUND(N10*(AD10/12)*35%,0))</f>
        <v/>
      </c>
      <c r="AF10" s="4" t="n">
        <f aca="false">IF(G10&lt;12,0,MAX(0,G10-120))</f>
        <v>0</v>
      </c>
      <c r="AG10" s="3" t="str">
        <f aca="false">IF(N10="","",ROUND(N10*(AF10/12)*40%,0))</f>
        <v/>
      </c>
      <c r="AH10" s="3" t="str">
        <f aca="false">IF(OR(AC10="",AE10="",AG10=""),"",AC10+AE10+AG10)</f>
        <v/>
      </c>
    </row>
    <row r="11" customFormat="false" ht="15" hidden="false" customHeight="true" outlineLevel="0" collapsed="false">
      <c r="A11" s="1" t="s">
        <v>77</v>
      </c>
      <c r="B11" s="1" t="s">
        <v>68</v>
      </c>
      <c r="C11" s="1" t="s">
        <v>133</v>
      </c>
      <c r="F11" s="1" t="s">
        <v>4</v>
      </c>
      <c r="G11" s="4" t="n">
        <f aca="false">IF(OR(E11="",E11&gt;F11),0,DATEDIF(E11,F11,"m"))</f>
        <v>0</v>
      </c>
      <c r="I11" s="5" t="n">
        <f aca="false">COUNTIFS(Périodes!$A:$A,A11,Périodes!$E:$E,"FINALIZED")</f>
        <v>0</v>
      </c>
      <c r="L11" s="3" t="str">
        <f aca="false">IF(OR(J11="",K11=""),"",ROUND(J11+K11,0))</f>
        <v/>
      </c>
      <c r="M11" s="3" t="str">
        <f aca="false">IF(I11=0,IF(L11="","",L11*12),SUMIFS(Périodes!$K:$K,Périodes!$A:$A,A11,Périodes!$E:$E,"FINALIZED"))</f>
        <v/>
      </c>
      <c r="N11" s="3" t="str">
        <f aca="false">IF(I11=0,L11,ROUND(M11/I11,0))</f>
        <v/>
      </c>
      <c r="O11" s="4" t="str">
        <f aca="false">IF(H11="","",ROUND(H11*2.2,2))</f>
        <v/>
      </c>
      <c r="P11" s="4" t="n">
        <f aca="false">IF(G11&gt;=360,8,IF(G11&gt;=300,7,IF(G11&gt;=240,5,IF(G11&gt;=180,3,IF(G11&gt;=120,2,IF(G11&gt;=60,1,0))))))</f>
        <v>0</v>
      </c>
      <c r="Q11" s="4" t="str">
        <f aca="false">IF(O11="","",CEILING(O11,1)+P11)</f>
        <v/>
      </c>
      <c r="V11" s="4" t="str">
        <f aca="false">IF(Q11="","",ROUND(R11+S11+Q11-T11-U11,2))</f>
        <v/>
      </c>
      <c r="W11" s="3" t="str">
        <f aca="false">IF(N11="","",ROUND(N11/26,0))</f>
        <v/>
      </c>
      <c r="X11" s="3" t="str">
        <f aca="false">IF(OR(W11="",V11=""),"",ROUND(MAX(0,V11)*W11,0))</f>
        <v/>
      </c>
      <c r="Y11" s="3" t="str">
        <f aca="false">IF(OR(M11="",Q11="",Q11=0,V11=""),"",ROUND(M11*10%*MAX(0,V11)/MAX(Q11,1),0))</f>
        <v/>
      </c>
      <c r="Z11" s="1" t="str">
        <f aca="false">IF(OR(X11="",Y11=""),"",IF(Y11&gt;X11,"TENTH","SALARY_MAINTENANCE"))</f>
        <v/>
      </c>
      <c r="AA11" s="3" t="str">
        <f aca="false">IF(OR(X11="",Y11=""),"",MAX(X11,Y11))</f>
        <v/>
      </c>
      <c r="AB11" s="4" t="n">
        <f aca="false">IF(G11&lt;12,0,MIN(G11,60))</f>
        <v>0</v>
      </c>
      <c r="AC11" s="3" t="str">
        <f aca="false">IF(N11="","",ROUND(N11*(AB11/12)*30%,0))</f>
        <v/>
      </c>
      <c r="AD11" s="4" t="n">
        <f aca="false">IF(G11&lt;12,0,MAX(0,MIN(G11-60,60)))</f>
        <v>0</v>
      </c>
      <c r="AE11" s="3" t="str">
        <f aca="false">IF(N11="","",ROUND(N11*(AD11/12)*35%,0))</f>
        <v/>
      </c>
      <c r="AF11" s="4" t="n">
        <f aca="false">IF(G11&lt;12,0,MAX(0,G11-120))</f>
        <v>0</v>
      </c>
      <c r="AG11" s="3" t="str">
        <f aca="false">IF(N11="","",ROUND(N11*(AF11/12)*40%,0))</f>
        <v/>
      </c>
      <c r="AH11" s="3" t="str">
        <f aca="false">IF(OR(AC11="",AE11="",AG11=""),"",AC11+AE11+AG11)</f>
        <v/>
      </c>
    </row>
    <row r="12" customFormat="false" ht="15" hidden="false" customHeight="true" outlineLevel="0" collapsed="false">
      <c r="A12" s="1" t="s">
        <v>78</v>
      </c>
      <c r="B12" s="1" t="s">
        <v>68</v>
      </c>
      <c r="C12" s="1" t="s">
        <v>106</v>
      </c>
      <c r="F12" s="1" t="s">
        <v>4</v>
      </c>
      <c r="G12" s="4" t="n">
        <f aca="false">IF(OR(E12="",E12&gt;F12),0,DATEDIF(E12,F12,"m"))</f>
        <v>0</v>
      </c>
      <c r="I12" s="5" t="n">
        <f aca="false">COUNTIFS(Périodes!$A:$A,A12,Périodes!$E:$E,"FINALIZED")</f>
        <v>0</v>
      </c>
      <c r="L12" s="3" t="str">
        <f aca="false">IF(OR(J12="",K12=""),"",ROUND(J12+K12,0))</f>
        <v/>
      </c>
      <c r="M12" s="3" t="str">
        <f aca="false">IF(I12=0,IF(L12="","",L12*12),SUMIFS(Périodes!$K:$K,Périodes!$A:$A,A12,Périodes!$E:$E,"FINALIZED"))</f>
        <v/>
      </c>
      <c r="N12" s="3" t="str">
        <f aca="false">IF(I12=0,L12,ROUND(M12/I12,0))</f>
        <v/>
      </c>
      <c r="O12" s="4" t="str">
        <f aca="false">IF(H12="","",ROUND(H12*2.2,2))</f>
        <v/>
      </c>
      <c r="P12" s="4" t="n">
        <f aca="false">IF(G12&gt;=360,8,IF(G12&gt;=300,7,IF(G12&gt;=240,5,IF(G12&gt;=180,3,IF(G12&gt;=120,2,IF(G12&gt;=60,1,0))))))</f>
        <v>0</v>
      </c>
      <c r="Q12" s="4" t="str">
        <f aca="false">IF(O12="","",CEILING(O12,1)+P12)</f>
        <v/>
      </c>
      <c r="V12" s="4" t="str">
        <f aca="false">IF(Q12="","",ROUND(R12+S12+Q12-T12-U12,2))</f>
        <v/>
      </c>
      <c r="W12" s="3" t="str">
        <f aca="false">IF(N12="","",ROUND(N12/26,0))</f>
        <v/>
      </c>
      <c r="X12" s="3" t="str">
        <f aca="false">IF(OR(W12="",V12=""),"",ROUND(MAX(0,V12)*W12,0))</f>
        <v/>
      </c>
      <c r="Y12" s="3" t="str">
        <f aca="false">IF(OR(M12="",Q12="",Q12=0,V12=""),"",ROUND(M12*10%*MAX(0,V12)/MAX(Q12,1),0))</f>
        <v/>
      </c>
      <c r="Z12" s="1" t="str">
        <f aca="false">IF(OR(X12="",Y12=""),"",IF(Y12&gt;X12,"TENTH","SALARY_MAINTENANCE"))</f>
        <v/>
      </c>
      <c r="AA12" s="3" t="str">
        <f aca="false">IF(OR(X12="",Y12=""),"",MAX(X12,Y12))</f>
        <v/>
      </c>
      <c r="AB12" s="4" t="n">
        <f aca="false">IF(G12&lt;12,0,MIN(G12,60))</f>
        <v>0</v>
      </c>
      <c r="AC12" s="3" t="str">
        <f aca="false">IF(N12="","",ROUND(N12*(AB12/12)*30%,0))</f>
        <v/>
      </c>
      <c r="AD12" s="4" t="n">
        <f aca="false">IF(G12&lt;12,0,MAX(0,MIN(G12-60,60)))</f>
        <v>0</v>
      </c>
      <c r="AE12" s="3" t="str">
        <f aca="false">IF(N12="","",ROUND(N12*(AD12/12)*35%,0))</f>
        <v/>
      </c>
      <c r="AF12" s="4" t="n">
        <f aca="false">IF(G12&lt;12,0,MAX(0,G12-120))</f>
        <v>0</v>
      </c>
      <c r="AG12" s="3" t="str">
        <f aca="false">IF(N12="","",ROUND(N12*(AF12/12)*40%,0))</f>
        <v/>
      </c>
      <c r="AH12" s="3" t="str">
        <f aca="false">IF(OR(AC12="",AE12="",AG12=""),"",AC12+AE12+AG12)</f>
        <v/>
      </c>
    </row>
    <row r="13" customFormat="false" ht="15" hidden="false" customHeight="true" outlineLevel="0" collapsed="false">
      <c r="A13" s="1" t="s">
        <v>79</v>
      </c>
      <c r="B13" s="1" t="s">
        <v>68</v>
      </c>
      <c r="C13" s="1" t="s">
        <v>107</v>
      </c>
      <c r="F13" s="1" t="s">
        <v>4</v>
      </c>
      <c r="G13" s="4" t="n">
        <f aca="false">IF(OR(E13="",E13&gt;F13),0,DATEDIF(E13,F13,"m"))</f>
        <v>0</v>
      </c>
      <c r="I13" s="5" t="n">
        <f aca="false">COUNTIFS(Périodes!$A:$A,A13,Périodes!$E:$E,"FINALIZED")</f>
        <v>0</v>
      </c>
      <c r="L13" s="3" t="str">
        <f aca="false">IF(OR(J13="",K13=""),"",ROUND(J13+K13,0))</f>
        <v/>
      </c>
      <c r="M13" s="3" t="str">
        <f aca="false">IF(I13=0,IF(L13="","",L13*12),SUMIFS(Périodes!$K:$K,Périodes!$A:$A,A13,Périodes!$E:$E,"FINALIZED"))</f>
        <v/>
      </c>
      <c r="N13" s="3" t="str">
        <f aca="false">IF(I13=0,L13,ROUND(M13/I13,0))</f>
        <v/>
      </c>
      <c r="O13" s="4" t="str">
        <f aca="false">IF(H13="","",ROUND(H13*2.2,2))</f>
        <v/>
      </c>
      <c r="P13" s="4" t="n">
        <f aca="false">IF(G13&gt;=360,8,IF(G13&gt;=300,7,IF(G13&gt;=240,5,IF(G13&gt;=180,3,IF(G13&gt;=120,2,IF(G13&gt;=60,1,0))))))</f>
        <v>0</v>
      </c>
      <c r="Q13" s="4" t="str">
        <f aca="false">IF(O13="","",CEILING(O13,1)+P13)</f>
        <v/>
      </c>
      <c r="V13" s="4" t="str">
        <f aca="false">IF(Q13="","",ROUND(R13+S13+Q13-T13-U13,2))</f>
        <v/>
      </c>
      <c r="W13" s="3" t="str">
        <f aca="false">IF(N13="","",ROUND(N13/26,0))</f>
        <v/>
      </c>
      <c r="X13" s="3" t="str">
        <f aca="false">IF(OR(W13="",V13=""),"",ROUND(MAX(0,V13)*W13,0))</f>
        <v/>
      </c>
      <c r="Y13" s="3" t="str">
        <f aca="false">IF(OR(M13="",Q13="",Q13=0,V13=""),"",ROUND(M13*10%*MAX(0,V13)/MAX(Q13,1),0))</f>
        <v/>
      </c>
      <c r="Z13" s="1" t="str">
        <f aca="false">IF(OR(X13="",Y13=""),"",IF(Y13&gt;X13,"TENTH","SALARY_MAINTENANCE"))</f>
        <v/>
      </c>
      <c r="AA13" s="3" t="str">
        <f aca="false">IF(OR(X13="",Y13=""),"",MAX(X13,Y13))</f>
        <v/>
      </c>
      <c r="AB13" s="4" t="n">
        <f aca="false">IF(G13&lt;12,0,MIN(G13,60))</f>
        <v>0</v>
      </c>
      <c r="AC13" s="3" t="str">
        <f aca="false">IF(N13="","",ROUND(N13*(AB13/12)*30%,0))</f>
        <v/>
      </c>
      <c r="AD13" s="4" t="n">
        <f aca="false">IF(G13&lt;12,0,MAX(0,MIN(G13-60,60)))</f>
        <v>0</v>
      </c>
      <c r="AE13" s="3" t="str">
        <f aca="false">IF(N13="","",ROUND(N13*(AD13/12)*35%,0))</f>
        <v/>
      </c>
      <c r="AF13" s="4" t="n">
        <f aca="false">IF(G13&lt;12,0,MAX(0,G13-120))</f>
        <v>0</v>
      </c>
      <c r="AG13" s="3" t="str">
        <f aca="false">IF(N13="","",ROUND(N13*(AF13/12)*40%,0))</f>
        <v/>
      </c>
      <c r="AH13" s="3" t="str">
        <f aca="false">IF(OR(AC13="",AE13="",AG13=""),"",AC13+AE13+AG13)</f>
        <v/>
      </c>
    </row>
    <row r="14" customFormat="false" ht="15" hidden="false" customHeight="true" outlineLevel="0" collapsed="false">
      <c r="A14" s="1" t="s">
        <v>80</v>
      </c>
      <c r="B14" s="1" t="s">
        <v>68</v>
      </c>
      <c r="C14" s="1" t="s">
        <v>134</v>
      </c>
      <c r="F14" s="1" t="s">
        <v>4</v>
      </c>
      <c r="G14" s="4" t="n">
        <f aca="false">IF(OR(E14="",E14&gt;F14),0,DATEDIF(E14,F14,"m"))</f>
        <v>0</v>
      </c>
      <c r="I14" s="5" t="n">
        <f aca="false">COUNTIFS(Périodes!$A:$A,A14,Périodes!$E:$E,"FINALIZED")</f>
        <v>0</v>
      </c>
      <c r="L14" s="3" t="str">
        <f aca="false">IF(OR(J14="",K14=""),"",ROUND(J14+K14,0))</f>
        <v/>
      </c>
      <c r="M14" s="3" t="str">
        <f aca="false">IF(I14=0,IF(L14="","",L14*12),SUMIFS(Périodes!$K:$K,Périodes!$A:$A,A14,Périodes!$E:$E,"FINALIZED"))</f>
        <v/>
      </c>
      <c r="N14" s="3" t="str">
        <f aca="false">IF(I14=0,L14,ROUND(M14/I14,0))</f>
        <v/>
      </c>
      <c r="O14" s="4" t="str">
        <f aca="false">IF(H14="","",ROUND(H14*2.2,2))</f>
        <v/>
      </c>
      <c r="P14" s="4" t="n">
        <f aca="false">IF(G14&gt;=360,8,IF(G14&gt;=300,7,IF(G14&gt;=240,5,IF(G14&gt;=180,3,IF(G14&gt;=120,2,IF(G14&gt;=60,1,0))))))</f>
        <v>0</v>
      </c>
      <c r="Q14" s="4" t="str">
        <f aca="false">IF(O14="","",CEILING(O14,1)+P14)</f>
        <v/>
      </c>
      <c r="V14" s="4" t="str">
        <f aca="false">IF(Q14="","",ROUND(R14+S14+Q14-T14-U14,2))</f>
        <v/>
      </c>
      <c r="W14" s="3" t="str">
        <f aca="false">IF(N14="","",ROUND(N14/26,0))</f>
        <v/>
      </c>
      <c r="X14" s="3" t="str">
        <f aca="false">IF(OR(W14="",V14=""),"",ROUND(MAX(0,V14)*W14,0))</f>
        <v/>
      </c>
      <c r="Y14" s="3" t="str">
        <f aca="false">IF(OR(M14="",Q14="",Q14=0,V14=""),"",ROUND(M14*10%*MAX(0,V14)/MAX(Q14,1),0))</f>
        <v/>
      </c>
      <c r="Z14" s="1" t="str">
        <f aca="false">IF(OR(X14="",Y14=""),"",IF(Y14&gt;X14,"TENTH","SALARY_MAINTENANCE"))</f>
        <v/>
      </c>
      <c r="AA14" s="3" t="str">
        <f aca="false">IF(OR(X14="",Y14=""),"",MAX(X14,Y14))</f>
        <v/>
      </c>
      <c r="AB14" s="4" t="n">
        <f aca="false">IF(G14&lt;12,0,MIN(G14,60))</f>
        <v>0</v>
      </c>
      <c r="AC14" s="3" t="str">
        <f aca="false">IF(N14="","",ROUND(N14*(AB14/12)*30%,0))</f>
        <v/>
      </c>
      <c r="AD14" s="4" t="n">
        <f aca="false">IF(G14&lt;12,0,MAX(0,MIN(G14-60,60)))</f>
        <v>0</v>
      </c>
      <c r="AE14" s="3" t="str">
        <f aca="false">IF(N14="","",ROUND(N14*(AD14/12)*35%,0))</f>
        <v/>
      </c>
      <c r="AF14" s="4" t="n">
        <f aca="false">IF(G14&lt;12,0,MAX(0,G14-120))</f>
        <v>0</v>
      </c>
      <c r="AG14" s="3" t="str">
        <f aca="false">IF(N14="","",ROUND(N14*(AF14/12)*40%,0))</f>
        <v/>
      </c>
      <c r="AH14" s="3" t="str">
        <f aca="false">IF(OR(AC14="",AE14="",AG14=""),"",AC14+AE14+AG14)</f>
        <v/>
      </c>
    </row>
    <row r="15" customFormat="false" ht="15" hidden="false" customHeight="true" outlineLevel="0" collapsed="false">
      <c r="A15" s="1" t="s">
        <v>81</v>
      </c>
      <c r="B15" s="1" t="s">
        <v>68</v>
      </c>
      <c r="C15" s="1" t="s">
        <v>135</v>
      </c>
      <c r="F15" s="1" t="s">
        <v>4</v>
      </c>
      <c r="G15" s="4" t="n">
        <f aca="false">IF(OR(E15="",E15&gt;F15),0,DATEDIF(E15,F15,"m"))</f>
        <v>0</v>
      </c>
      <c r="I15" s="5" t="n">
        <f aca="false">COUNTIFS(Périodes!$A:$A,A15,Périodes!$E:$E,"FINALIZED")</f>
        <v>0</v>
      </c>
      <c r="L15" s="3" t="str">
        <f aca="false">IF(OR(J15="",K15=""),"",ROUND(J15+K15,0))</f>
        <v/>
      </c>
      <c r="M15" s="3" t="str">
        <f aca="false">IF(I15=0,IF(L15="","",L15*12),SUMIFS(Périodes!$K:$K,Périodes!$A:$A,A15,Périodes!$E:$E,"FINALIZED"))</f>
        <v/>
      </c>
      <c r="N15" s="3" t="str">
        <f aca="false">IF(I15=0,L15,ROUND(M15/I15,0))</f>
        <v/>
      </c>
      <c r="O15" s="4" t="str">
        <f aca="false">IF(H15="","",ROUND(H15*2.2,2))</f>
        <v/>
      </c>
      <c r="P15" s="4" t="n">
        <f aca="false">IF(G15&gt;=360,8,IF(G15&gt;=300,7,IF(G15&gt;=240,5,IF(G15&gt;=180,3,IF(G15&gt;=120,2,IF(G15&gt;=60,1,0))))))</f>
        <v>0</v>
      </c>
      <c r="Q15" s="4" t="str">
        <f aca="false">IF(O15="","",CEILING(O15,1)+P15)</f>
        <v/>
      </c>
      <c r="V15" s="4" t="str">
        <f aca="false">IF(Q15="","",ROUND(R15+S15+Q15-T15-U15,2))</f>
        <v/>
      </c>
      <c r="W15" s="3" t="str">
        <f aca="false">IF(N15="","",ROUND(N15/26,0))</f>
        <v/>
      </c>
      <c r="X15" s="3" t="str">
        <f aca="false">IF(OR(W15="",V15=""),"",ROUND(MAX(0,V15)*W15,0))</f>
        <v/>
      </c>
      <c r="Y15" s="3" t="str">
        <f aca="false">IF(OR(M15="",Q15="",Q15=0,V15=""),"",ROUND(M15*10%*MAX(0,V15)/MAX(Q15,1),0))</f>
        <v/>
      </c>
      <c r="Z15" s="1" t="str">
        <f aca="false">IF(OR(X15="",Y15=""),"",IF(Y15&gt;X15,"TENTH","SALARY_MAINTENANCE"))</f>
        <v/>
      </c>
      <c r="AA15" s="3" t="str">
        <f aca="false">IF(OR(X15="",Y15=""),"",MAX(X15,Y15))</f>
        <v/>
      </c>
      <c r="AB15" s="4" t="n">
        <f aca="false">IF(G15&lt;12,0,MIN(G15,60))</f>
        <v>0</v>
      </c>
      <c r="AC15" s="3" t="str">
        <f aca="false">IF(N15="","",ROUND(N15*(AB15/12)*30%,0))</f>
        <v/>
      </c>
      <c r="AD15" s="4" t="n">
        <f aca="false">IF(G15&lt;12,0,MAX(0,MIN(G15-60,60)))</f>
        <v>0</v>
      </c>
      <c r="AE15" s="3" t="str">
        <f aca="false">IF(N15="","",ROUND(N15*(AD15/12)*35%,0))</f>
        <v/>
      </c>
      <c r="AF15" s="4" t="n">
        <f aca="false">IF(G15&lt;12,0,MAX(0,G15-120))</f>
        <v>0</v>
      </c>
      <c r="AG15" s="3" t="str">
        <f aca="false">IF(N15="","",ROUND(N15*(AF15/12)*40%,0))</f>
        <v/>
      </c>
      <c r="AH15" s="3" t="str">
        <f aca="false">IF(OR(AC15="",AE15="",AG15=""),"",AC15+AE15+AG15)</f>
        <v/>
      </c>
    </row>
    <row r="16" customFormat="false" ht="15" hidden="false" customHeight="true" outlineLevel="0" collapsed="false">
      <c r="A16" s="1" t="s">
        <v>82</v>
      </c>
      <c r="B16" s="1" t="s">
        <v>68</v>
      </c>
      <c r="C16" s="1" t="s">
        <v>136</v>
      </c>
      <c r="F16" s="1" t="s">
        <v>4</v>
      </c>
      <c r="G16" s="4" t="n">
        <f aca="false">IF(OR(E16="",E16&gt;F16),0,DATEDIF(E16,F16,"m"))</f>
        <v>0</v>
      </c>
      <c r="I16" s="5" t="n">
        <f aca="false">COUNTIFS(Périodes!$A:$A,A16,Périodes!$E:$E,"FINALIZED")</f>
        <v>0</v>
      </c>
      <c r="L16" s="3" t="str">
        <f aca="false">IF(OR(J16="",K16=""),"",ROUND(J16+K16,0))</f>
        <v/>
      </c>
      <c r="M16" s="3" t="str">
        <f aca="false">IF(I16=0,IF(L16="","",L16*12),SUMIFS(Périodes!$K:$K,Périodes!$A:$A,A16,Périodes!$E:$E,"FINALIZED"))</f>
        <v/>
      </c>
      <c r="N16" s="3" t="str">
        <f aca="false">IF(I16=0,L16,ROUND(M16/I16,0))</f>
        <v/>
      </c>
      <c r="O16" s="4" t="str">
        <f aca="false">IF(H16="","",ROUND(H16*2.2,2))</f>
        <v/>
      </c>
      <c r="P16" s="4" t="n">
        <f aca="false">IF(G16&gt;=360,8,IF(G16&gt;=300,7,IF(G16&gt;=240,5,IF(G16&gt;=180,3,IF(G16&gt;=120,2,IF(G16&gt;=60,1,0))))))</f>
        <v>0</v>
      </c>
      <c r="Q16" s="4" t="str">
        <f aca="false">IF(O16="","",CEILING(O16,1)+P16)</f>
        <v/>
      </c>
      <c r="V16" s="4" t="str">
        <f aca="false">IF(Q16="","",ROUND(R16+S16+Q16-T16-U16,2))</f>
        <v/>
      </c>
      <c r="W16" s="3" t="str">
        <f aca="false">IF(N16="","",ROUND(N16/26,0))</f>
        <v/>
      </c>
      <c r="X16" s="3" t="str">
        <f aca="false">IF(OR(W16="",V16=""),"",ROUND(MAX(0,V16)*W16,0))</f>
        <v/>
      </c>
      <c r="Y16" s="3" t="str">
        <f aca="false">IF(OR(M16="",Q16="",Q16=0,V16=""),"",ROUND(M16*10%*MAX(0,V16)/MAX(Q16,1),0))</f>
        <v/>
      </c>
      <c r="Z16" s="1" t="str">
        <f aca="false">IF(OR(X16="",Y16=""),"",IF(Y16&gt;X16,"TENTH","SALARY_MAINTENANCE"))</f>
        <v/>
      </c>
      <c r="AA16" s="3" t="str">
        <f aca="false">IF(OR(X16="",Y16=""),"",MAX(X16,Y16))</f>
        <v/>
      </c>
      <c r="AB16" s="4" t="n">
        <f aca="false">IF(G16&lt;12,0,MIN(G16,60))</f>
        <v>0</v>
      </c>
      <c r="AC16" s="3" t="str">
        <f aca="false">IF(N16="","",ROUND(N16*(AB16/12)*30%,0))</f>
        <v/>
      </c>
      <c r="AD16" s="4" t="n">
        <f aca="false">IF(G16&lt;12,0,MAX(0,MIN(G16-60,60)))</f>
        <v>0</v>
      </c>
      <c r="AE16" s="3" t="str">
        <f aca="false">IF(N16="","",ROUND(N16*(AD16/12)*35%,0))</f>
        <v/>
      </c>
      <c r="AF16" s="4" t="n">
        <f aca="false">IF(G16&lt;12,0,MAX(0,G16-120))</f>
        <v>0</v>
      </c>
      <c r="AG16" s="3" t="str">
        <f aca="false">IF(N16="","",ROUND(N16*(AF16/12)*40%,0))</f>
        <v/>
      </c>
      <c r="AH16" s="3" t="str">
        <f aca="false">IF(OR(AC16="",AE16="",AG16=""),"",AC16+AE16+AG16)</f>
        <v/>
      </c>
    </row>
    <row r="17" customFormat="false" ht="15" hidden="false" customHeight="true" outlineLevel="0" collapsed="false">
      <c r="A17" s="1" t="s">
        <v>83</v>
      </c>
      <c r="B17" s="1" t="s">
        <v>68</v>
      </c>
      <c r="C17" s="1" t="s">
        <v>137</v>
      </c>
      <c r="F17" s="1" t="s">
        <v>4</v>
      </c>
      <c r="G17" s="4" t="n">
        <f aca="false">IF(OR(E17="",E17&gt;F17),0,DATEDIF(E17,F17,"m"))</f>
        <v>0</v>
      </c>
      <c r="I17" s="5" t="n">
        <f aca="false">COUNTIFS(Périodes!$A:$A,A17,Périodes!$E:$E,"FINALIZED")</f>
        <v>0</v>
      </c>
      <c r="L17" s="3" t="str">
        <f aca="false">IF(OR(J17="",K17=""),"",ROUND(J17+K17,0))</f>
        <v/>
      </c>
      <c r="M17" s="3" t="str">
        <f aca="false">IF(I17=0,IF(L17="","",L17*12),SUMIFS(Périodes!$K:$K,Périodes!$A:$A,A17,Périodes!$E:$E,"FINALIZED"))</f>
        <v/>
      </c>
      <c r="N17" s="3" t="str">
        <f aca="false">IF(I17=0,L17,ROUND(M17/I17,0))</f>
        <v/>
      </c>
      <c r="O17" s="4" t="str">
        <f aca="false">IF(H17="","",ROUND(H17*2.2,2))</f>
        <v/>
      </c>
      <c r="P17" s="4" t="n">
        <f aca="false">IF(G17&gt;=360,8,IF(G17&gt;=300,7,IF(G17&gt;=240,5,IF(G17&gt;=180,3,IF(G17&gt;=120,2,IF(G17&gt;=60,1,0))))))</f>
        <v>0</v>
      </c>
      <c r="Q17" s="4" t="str">
        <f aca="false">IF(O17="","",CEILING(O17,1)+P17)</f>
        <v/>
      </c>
      <c r="V17" s="4" t="str">
        <f aca="false">IF(Q17="","",ROUND(R17+S17+Q17-T17-U17,2))</f>
        <v/>
      </c>
      <c r="W17" s="3" t="str">
        <f aca="false">IF(N17="","",ROUND(N17/26,0))</f>
        <v/>
      </c>
      <c r="X17" s="3" t="str">
        <f aca="false">IF(OR(W17="",V17=""),"",ROUND(MAX(0,V17)*W17,0))</f>
        <v/>
      </c>
      <c r="Y17" s="3" t="str">
        <f aca="false">IF(OR(M17="",Q17="",Q17=0,V17=""),"",ROUND(M17*10%*MAX(0,V17)/MAX(Q17,1),0))</f>
        <v/>
      </c>
      <c r="Z17" s="1" t="str">
        <f aca="false">IF(OR(X17="",Y17=""),"",IF(Y17&gt;X17,"TENTH","SALARY_MAINTENANCE"))</f>
        <v/>
      </c>
      <c r="AA17" s="3" t="str">
        <f aca="false">IF(OR(X17="",Y17=""),"",MAX(X17,Y17))</f>
        <v/>
      </c>
      <c r="AB17" s="4" t="n">
        <f aca="false">IF(G17&lt;12,0,MIN(G17,60))</f>
        <v>0</v>
      </c>
      <c r="AC17" s="3" t="str">
        <f aca="false">IF(N17="","",ROUND(N17*(AB17/12)*30%,0))</f>
        <v/>
      </c>
      <c r="AD17" s="4" t="n">
        <f aca="false">IF(G17&lt;12,0,MAX(0,MIN(G17-60,60)))</f>
        <v>0</v>
      </c>
      <c r="AE17" s="3" t="str">
        <f aca="false">IF(N17="","",ROUND(N17*(AD17/12)*35%,0))</f>
        <v/>
      </c>
      <c r="AF17" s="4" t="n">
        <f aca="false">IF(G17&lt;12,0,MAX(0,G17-120))</f>
        <v>0</v>
      </c>
      <c r="AG17" s="3" t="str">
        <f aca="false">IF(N17="","",ROUND(N17*(AF17/12)*40%,0))</f>
        <v/>
      </c>
      <c r="AH17" s="3" t="str">
        <f aca="false">IF(OR(AC17="",AE17="",AG17=""),"",AC17+AE17+AG17)</f>
        <v/>
      </c>
    </row>
    <row r="18" customFormat="false" ht="15" hidden="false" customHeight="true" outlineLevel="0" collapsed="false">
      <c r="A18" s="1" t="s">
        <v>84</v>
      </c>
      <c r="B18" s="1" t="s">
        <v>68</v>
      </c>
      <c r="C18" s="1" t="s">
        <v>138</v>
      </c>
      <c r="F18" s="1" t="s">
        <v>4</v>
      </c>
      <c r="G18" s="4" t="n">
        <f aca="false">IF(OR(E18="",E18&gt;F18),0,DATEDIF(E18,F18,"m"))</f>
        <v>0</v>
      </c>
      <c r="I18" s="5" t="n">
        <f aca="false">COUNTIFS(Périodes!$A:$A,A18,Périodes!$E:$E,"FINALIZED")</f>
        <v>0</v>
      </c>
      <c r="L18" s="3" t="str">
        <f aca="false">IF(OR(J18="",K18=""),"",ROUND(J18+K18,0))</f>
        <v/>
      </c>
      <c r="M18" s="3" t="str">
        <f aca="false">IF(I18=0,IF(L18="","",L18*12),SUMIFS(Périodes!$K:$K,Périodes!$A:$A,A18,Périodes!$E:$E,"FINALIZED"))</f>
        <v/>
      </c>
      <c r="N18" s="3" t="str">
        <f aca="false">IF(I18=0,L18,ROUND(M18/I18,0))</f>
        <v/>
      </c>
      <c r="O18" s="4" t="str">
        <f aca="false">IF(H18="","",ROUND(H18*2.2,2))</f>
        <v/>
      </c>
      <c r="P18" s="4" t="n">
        <f aca="false">IF(G18&gt;=360,8,IF(G18&gt;=300,7,IF(G18&gt;=240,5,IF(G18&gt;=180,3,IF(G18&gt;=120,2,IF(G18&gt;=60,1,0))))))</f>
        <v>0</v>
      </c>
      <c r="Q18" s="4" t="str">
        <f aca="false">IF(O18="","",CEILING(O18,1)+P18)</f>
        <v/>
      </c>
      <c r="V18" s="4" t="str">
        <f aca="false">IF(Q18="","",ROUND(R18+S18+Q18-T18-U18,2))</f>
        <v/>
      </c>
      <c r="W18" s="3" t="str">
        <f aca="false">IF(N18="","",ROUND(N18/26,0))</f>
        <v/>
      </c>
      <c r="X18" s="3" t="str">
        <f aca="false">IF(OR(W18="",V18=""),"",ROUND(MAX(0,V18)*W18,0))</f>
        <v/>
      </c>
      <c r="Y18" s="3" t="str">
        <f aca="false">IF(OR(M18="",Q18="",Q18=0,V18=""),"",ROUND(M18*10%*MAX(0,V18)/MAX(Q18,1),0))</f>
        <v/>
      </c>
      <c r="Z18" s="1" t="str">
        <f aca="false">IF(OR(X18="",Y18=""),"",IF(Y18&gt;X18,"TENTH","SALARY_MAINTENANCE"))</f>
        <v/>
      </c>
      <c r="AA18" s="3" t="str">
        <f aca="false">IF(OR(X18="",Y18=""),"",MAX(X18,Y18))</f>
        <v/>
      </c>
      <c r="AB18" s="4" t="n">
        <f aca="false">IF(G18&lt;12,0,MIN(G18,60))</f>
        <v>0</v>
      </c>
      <c r="AC18" s="3" t="str">
        <f aca="false">IF(N18="","",ROUND(N18*(AB18/12)*30%,0))</f>
        <v/>
      </c>
      <c r="AD18" s="4" t="n">
        <f aca="false">IF(G18&lt;12,0,MAX(0,MIN(G18-60,60)))</f>
        <v>0</v>
      </c>
      <c r="AE18" s="3" t="str">
        <f aca="false">IF(N18="","",ROUND(N18*(AD18/12)*35%,0))</f>
        <v/>
      </c>
      <c r="AF18" s="4" t="n">
        <f aca="false">IF(G18&lt;12,0,MAX(0,G18-120))</f>
        <v>0</v>
      </c>
      <c r="AG18" s="3" t="str">
        <f aca="false">IF(N18="","",ROUND(N18*(AF18/12)*40%,0))</f>
        <v/>
      </c>
      <c r="AH18" s="3" t="str">
        <f aca="false">IF(OR(AC18="",AE18="",AG18=""),"",AC18+AE18+AG18)</f>
        <v/>
      </c>
    </row>
    <row r="19" customFormat="false" ht="15" hidden="false" customHeight="true" outlineLevel="0" collapsed="false">
      <c r="A19" s="1" t="s">
        <v>85</v>
      </c>
      <c r="B19" s="1" t="s">
        <v>68</v>
      </c>
      <c r="C19" s="1" t="s">
        <v>139</v>
      </c>
      <c r="F19" s="1" t="s">
        <v>4</v>
      </c>
      <c r="G19" s="4" t="n">
        <f aca="false">IF(OR(E19="",E19&gt;F19),0,DATEDIF(E19,F19,"m"))</f>
        <v>0</v>
      </c>
      <c r="I19" s="5" t="n">
        <f aca="false">COUNTIFS(Périodes!$A:$A,A19,Périodes!$E:$E,"FINALIZED")</f>
        <v>0</v>
      </c>
      <c r="L19" s="3" t="str">
        <f aca="false">IF(OR(J19="",K19=""),"",ROUND(J19+K19,0))</f>
        <v/>
      </c>
      <c r="M19" s="3" t="str">
        <f aca="false">IF(I19=0,IF(L19="","",L19*12),SUMIFS(Périodes!$K:$K,Périodes!$A:$A,A19,Périodes!$E:$E,"FINALIZED"))</f>
        <v/>
      </c>
      <c r="N19" s="3" t="str">
        <f aca="false">IF(I19=0,L19,ROUND(M19/I19,0))</f>
        <v/>
      </c>
      <c r="O19" s="4" t="str">
        <f aca="false">IF(H19="","",ROUND(H19*2.2,2))</f>
        <v/>
      </c>
      <c r="P19" s="4" t="n">
        <f aca="false">IF(G19&gt;=360,8,IF(G19&gt;=300,7,IF(G19&gt;=240,5,IF(G19&gt;=180,3,IF(G19&gt;=120,2,IF(G19&gt;=60,1,0))))))</f>
        <v>0</v>
      </c>
      <c r="Q19" s="4" t="str">
        <f aca="false">IF(O19="","",CEILING(O19,1)+P19)</f>
        <v/>
      </c>
      <c r="V19" s="4" t="str">
        <f aca="false">IF(Q19="","",ROUND(R19+S19+Q19-T19-U19,2))</f>
        <v/>
      </c>
      <c r="W19" s="3" t="str">
        <f aca="false">IF(N19="","",ROUND(N19/26,0))</f>
        <v/>
      </c>
      <c r="X19" s="3" t="str">
        <f aca="false">IF(OR(W19="",V19=""),"",ROUND(MAX(0,V19)*W19,0))</f>
        <v/>
      </c>
      <c r="Y19" s="3" t="str">
        <f aca="false">IF(OR(M19="",Q19="",Q19=0,V19=""),"",ROUND(M19*10%*MAX(0,V19)/MAX(Q19,1),0))</f>
        <v/>
      </c>
      <c r="Z19" s="1" t="str">
        <f aca="false">IF(OR(X19="",Y19=""),"",IF(Y19&gt;X19,"TENTH","SALARY_MAINTENANCE"))</f>
        <v/>
      </c>
      <c r="AA19" s="3" t="str">
        <f aca="false">IF(OR(X19="",Y19=""),"",MAX(X19,Y19))</f>
        <v/>
      </c>
      <c r="AB19" s="4" t="n">
        <f aca="false">IF(G19&lt;12,0,MIN(G19,60))</f>
        <v>0</v>
      </c>
      <c r="AC19" s="3" t="str">
        <f aca="false">IF(N19="","",ROUND(N19*(AB19/12)*30%,0))</f>
        <v/>
      </c>
      <c r="AD19" s="4" t="n">
        <f aca="false">IF(G19&lt;12,0,MAX(0,MIN(G19-60,60)))</f>
        <v>0</v>
      </c>
      <c r="AE19" s="3" t="str">
        <f aca="false">IF(N19="","",ROUND(N19*(AD19/12)*35%,0))</f>
        <v/>
      </c>
      <c r="AF19" s="4" t="n">
        <f aca="false">IF(G19&lt;12,0,MAX(0,G19-120))</f>
        <v>0</v>
      </c>
      <c r="AG19" s="3" t="str">
        <f aca="false">IF(N19="","",ROUND(N19*(AF19/12)*40%,0))</f>
        <v/>
      </c>
      <c r="AH19" s="3" t="str">
        <f aca="false">IF(OR(AC19="",AE19="",AG19=""),"",AC19+AE19+AG19)</f>
        <v/>
      </c>
      <c r="AI19" s="1" t="s">
        <v>140</v>
      </c>
      <c r="AJ19" s="1" t="s">
        <v>141</v>
      </c>
    </row>
    <row r="20" customFormat="false" ht="15" hidden="false" customHeight="true" outlineLevel="0" collapsed="false">
      <c r="A20" s="1" t="s">
        <v>86</v>
      </c>
      <c r="B20" s="1" t="s">
        <v>87</v>
      </c>
      <c r="C20" s="1" t="s">
        <v>142</v>
      </c>
      <c r="F20" s="1" t="s">
        <v>4</v>
      </c>
      <c r="G20" s="4" t="n">
        <f aca="false">IF(OR(E20="",E20&gt;F20),0,DATEDIF(E20,F20,"m"))</f>
        <v>0</v>
      </c>
      <c r="I20" s="5" t="n">
        <f aca="false">COUNTIFS(Périodes!$A:$A,A20,Périodes!$E:$E,"FINALIZED")</f>
        <v>0</v>
      </c>
      <c r="L20" s="3" t="str">
        <f aca="false">IF(OR(J20="",K20=""),"",ROUND(J20+K20,0))</f>
        <v/>
      </c>
      <c r="M20" s="3" t="str">
        <f aca="false">IF(I20=0,IF(L20="","",L20*12),SUMIFS(Périodes!$K:$K,Périodes!$A:$A,A20,Périodes!$E:$E,"FINALIZED"))</f>
        <v/>
      </c>
      <c r="N20" s="3" t="str">
        <f aca="false">IF(I20=0,L20,ROUND(M20/I20,0))</f>
        <v/>
      </c>
      <c r="O20" s="4" t="str">
        <f aca="false">IF(H20="","",ROUND(H20*2.2,2))</f>
        <v/>
      </c>
      <c r="P20" s="4" t="n">
        <f aca="false">IF(G20&gt;=360,8,IF(G20&gt;=300,7,IF(G20&gt;=240,5,IF(G20&gt;=180,3,IF(G20&gt;=120,2,IF(G20&gt;=60,1,0))))))</f>
        <v>0</v>
      </c>
      <c r="Q20" s="4" t="str">
        <f aca="false">IF(O20="","",CEILING(O20,1)+P20)</f>
        <v/>
      </c>
      <c r="V20" s="4" t="str">
        <f aca="false">IF(Q20="","",ROUND(R20+S20+Q20-T20-U20,2))</f>
        <v/>
      </c>
      <c r="W20" s="3" t="str">
        <f aca="false">IF(N20="","",ROUND(N20/26,0))</f>
        <v/>
      </c>
      <c r="X20" s="3" t="str">
        <f aca="false">IF(OR(W20="",V20=""),"",ROUND(MAX(0,V20)*W20,0))</f>
        <v/>
      </c>
      <c r="Y20" s="3" t="str">
        <f aca="false">IF(OR(M20="",Q20="",Q20=0,V20=""),"",ROUND(M20*10%*MAX(0,V20)/MAX(Q20,1),0))</f>
        <v/>
      </c>
      <c r="Z20" s="1" t="str">
        <f aca="false">IF(OR(X20="",Y20=""),"",IF(Y20&gt;X20,"TENTH","SALARY_MAINTENANCE"))</f>
        <v/>
      </c>
      <c r="AA20" s="3" t="str">
        <f aca="false">IF(OR(X20="",Y20=""),"",MAX(X20,Y20))</f>
        <v/>
      </c>
      <c r="AB20" s="4" t="n">
        <f aca="false">IF(G20&lt;12,0,MIN(G20,60))</f>
        <v>0</v>
      </c>
      <c r="AC20" s="3" t="str">
        <f aca="false">IF(N20="","",ROUND(N20*(AB20/12)*30%,0))</f>
        <v/>
      </c>
      <c r="AD20" s="4" t="n">
        <f aca="false">IF(G20&lt;12,0,MAX(0,MIN(G20-60,60)))</f>
        <v>0</v>
      </c>
      <c r="AE20" s="3" t="str">
        <f aca="false">IF(N20="","",ROUND(N20*(AD20/12)*35%,0))</f>
        <v/>
      </c>
      <c r="AF20" s="4" t="n">
        <f aca="false">IF(G20&lt;12,0,MAX(0,G20-120))</f>
        <v>0</v>
      </c>
      <c r="AG20" s="3" t="str">
        <f aca="false">IF(N20="","",ROUND(N20*(AF20/12)*40%,0))</f>
        <v/>
      </c>
      <c r="AH20" s="3" t="str">
        <f aca="false">IF(OR(AC20="",AE20="",AG20=""),"",AC20+AE20+AG20)</f>
        <v/>
      </c>
    </row>
    <row r="21" customFormat="false" ht="15" hidden="false" customHeight="true" outlineLevel="0" collapsed="false">
      <c r="A21" s="1" t="s">
        <v>88</v>
      </c>
      <c r="B21" s="1" t="s">
        <v>87</v>
      </c>
      <c r="C21" s="1" t="s">
        <v>143</v>
      </c>
      <c r="F21" s="1" t="s">
        <v>4</v>
      </c>
      <c r="G21" s="4" t="n">
        <f aca="false">IF(OR(E21="",E21&gt;F21),0,DATEDIF(E21,F21,"m"))</f>
        <v>0</v>
      </c>
      <c r="I21" s="5" t="n">
        <f aca="false">COUNTIFS(Périodes!$A:$A,A21,Périodes!$E:$E,"FINALIZED")</f>
        <v>0</v>
      </c>
      <c r="L21" s="3" t="str">
        <f aca="false">IF(OR(J21="",K21=""),"",ROUND(J21+K21,0))</f>
        <v/>
      </c>
      <c r="M21" s="3" t="str">
        <f aca="false">IF(I21=0,IF(L21="","",L21*12),SUMIFS(Périodes!$K:$K,Périodes!$A:$A,A21,Périodes!$E:$E,"FINALIZED"))</f>
        <v/>
      </c>
      <c r="N21" s="3" t="str">
        <f aca="false">IF(I21=0,L21,ROUND(M21/I21,0))</f>
        <v/>
      </c>
      <c r="O21" s="4" t="str">
        <f aca="false">IF(H21="","",ROUND(H21*2.2,2))</f>
        <v/>
      </c>
      <c r="P21" s="4" t="n">
        <f aca="false">IF(G21&gt;=360,8,IF(G21&gt;=300,7,IF(G21&gt;=240,5,IF(G21&gt;=180,3,IF(G21&gt;=120,2,IF(G21&gt;=60,1,0))))))</f>
        <v>0</v>
      </c>
      <c r="Q21" s="4" t="str">
        <f aca="false">IF(O21="","",CEILING(O21,1)+P21)</f>
        <v/>
      </c>
      <c r="V21" s="4" t="str">
        <f aca="false">IF(Q21="","",ROUND(R21+S21+Q21-T21-U21,2))</f>
        <v/>
      </c>
      <c r="W21" s="3" t="str">
        <f aca="false">IF(N21="","",ROUND(N21/26,0))</f>
        <v/>
      </c>
      <c r="X21" s="3" t="str">
        <f aca="false">IF(OR(W21="",V21=""),"",ROUND(MAX(0,V21)*W21,0))</f>
        <v/>
      </c>
      <c r="Y21" s="3" t="str">
        <f aca="false">IF(OR(M21="",Q21="",Q21=0,V21=""),"",ROUND(M21*10%*MAX(0,V21)/MAX(Q21,1),0))</f>
        <v/>
      </c>
      <c r="Z21" s="1" t="str">
        <f aca="false">IF(OR(X21="",Y21=""),"",IF(Y21&gt;X21,"TENTH","SALARY_MAINTENANCE"))</f>
        <v/>
      </c>
      <c r="AA21" s="3" t="str">
        <f aca="false">IF(OR(X21="",Y21=""),"",MAX(X21,Y21))</f>
        <v/>
      </c>
      <c r="AB21" s="4" t="n">
        <f aca="false">IF(G21&lt;12,0,MIN(G21,60))</f>
        <v>0</v>
      </c>
      <c r="AC21" s="3" t="str">
        <f aca="false">IF(N21="","",ROUND(N21*(AB21/12)*30%,0))</f>
        <v/>
      </c>
      <c r="AD21" s="4" t="n">
        <f aca="false">IF(G21&lt;12,0,MAX(0,MIN(G21-60,60)))</f>
        <v>0</v>
      </c>
      <c r="AE21" s="3" t="str">
        <f aca="false">IF(N21="","",ROUND(N21*(AD21/12)*35%,0))</f>
        <v/>
      </c>
      <c r="AF21" s="4" t="n">
        <f aca="false">IF(G21&lt;12,0,MAX(0,G21-120))</f>
        <v>0</v>
      </c>
      <c r="AG21" s="3" t="str">
        <f aca="false">IF(N21="","",ROUND(N21*(AF21/12)*40%,0))</f>
        <v/>
      </c>
      <c r="AH21" s="3" t="str">
        <f aca="false">IF(OR(AC21="",AE21="",AG21=""),"",AC21+AE21+AG21)</f>
        <v/>
      </c>
    </row>
  </sheetData>
  <autoFilter ref="A1:AK2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35" min="1" style="1" width="17.83"/>
    <col collapsed="false" customWidth="true" hidden="false" outlineLevel="0" max="36" min="36" style="1" width="42.83"/>
  </cols>
  <sheetData>
    <row r="1" customFormat="false" ht="15" hidden="false" customHeight="true" outlineLevel="0" collapsed="false">
      <c r="A1" s="2" t="s">
        <v>53</v>
      </c>
      <c r="B1" s="2" t="s">
        <v>54</v>
      </c>
      <c r="C1" s="2" t="s">
        <v>90</v>
      </c>
      <c r="D1" s="2" t="s">
        <v>91</v>
      </c>
      <c r="E1" s="2" t="s">
        <v>93</v>
      </c>
      <c r="F1" s="2" t="s">
        <v>95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  <c r="N1" s="2" t="s">
        <v>151</v>
      </c>
      <c r="O1" s="2" t="s">
        <v>152</v>
      </c>
      <c r="P1" s="2" t="s">
        <v>153</v>
      </c>
      <c r="Q1" s="2" t="s">
        <v>154</v>
      </c>
      <c r="R1" s="2" t="s">
        <v>155</v>
      </c>
      <c r="S1" s="2" t="s">
        <v>100</v>
      </c>
      <c r="T1" s="2" t="s">
        <v>156</v>
      </c>
      <c r="U1" s="2" t="s">
        <v>102</v>
      </c>
      <c r="V1" s="2" t="s">
        <v>104</v>
      </c>
      <c r="W1" s="2" t="s">
        <v>106</v>
      </c>
      <c r="X1" s="2" t="s">
        <v>157</v>
      </c>
      <c r="Y1" s="2" t="s">
        <v>108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158</v>
      </c>
      <c r="AE1" s="2" t="s">
        <v>159</v>
      </c>
      <c r="AF1" s="2" t="s">
        <v>160</v>
      </c>
      <c r="AG1" s="2" t="s">
        <v>120</v>
      </c>
      <c r="AH1" s="2" t="s">
        <v>161</v>
      </c>
      <c r="AI1" s="2" t="s">
        <v>162</v>
      </c>
      <c r="AJ1" s="2" t="s">
        <v>66</v>
      </c>
    </row>
    <row r="2" customFormat="false" ht="15" hidden="false" customHeight="true" outlineLevel="0" collapsed="false">
      <c r="A2" s="1" t="s">
        <v>67</v>
      </c>
      <c r="B2" s="1" t="s">
        <v>68</v>
      </c>
      <c r="C2" s="1" t="n">
        <f aca="false">Détails!D2</f>
        <v>0</v>
      </c>
      <c r="D2" s="1" t="n">
        <f aca="false">Détails!E2</f>
        <v>0</v>
      </c>
      <c r="E2" s="4" t="n">
        <f aca="false">Détails!G2</f>
        <v>0</v>
      </c>
      <c r="F2" s="5" t="n">
        <f aca="false">Détails!I2</f>
        <v>0</v>
      </c>
      <c r="G2" s="3" t="n">
        <f aca="false">SUMIFS(Périodes!$K:$K,Périodes!$A:$A,A2,Périodes!$C:$C,2026,Périodes!$D:$D,1,Périodes!$E:$E,"FINALIZED")</f>
        <v>0</v>
      </c>
      <c r="H2" s="3" t="n">
        <f aca="false">SUMIFS(Périodes!$K:$K,Périodes!$A:$A,A2,Périodes!$C:$C,2026,Périodes!$D:$D,2,Périodes!$E:$E,"FINALIZED")</f>
        <v>0</v>
      </c>
      <c r="I2" s="3" t="n">
        <f aca="false">SUMIFS(Périodes!$K:$K,Périodes!$A:$A,A2,Périodes!$C:$C,2026,Périodes!$D:$D,3,Périodes!$E:$E,"FINALIZED")</f>
        <v>0</v>
      </c>
      <c r="J2" s="3" t="n">
        <f aca="false">SUMIFS(Périodes!$K:$K,Périodes!$A:$A,A2,Périodes!$C:$C,2026,Périodes!$D:$D,4,Périodes!$E:$E,"FINALIZED")</f>
        <v>0</v>
      </c>
      <c r="K2" s="3" t="n">
        <f aca="false">SUMIFS(Périodes!$K:$K,Périodes!$A:$A,A2,Périodes!$C:$C,2026,Périodes!$D:$D,5,Périodes!$E:$E,"FINALIZED")</f>
        <v>0</v>
      </c>
      <c r="L2" s="3" t="n">
        <f aca="false">SUMIFS(Périodes!$K:$K,Périodes!$A:$A,A2,Périodes!$C:$C,2026,Périodes!$D:$D,6,Périodes!$E:$E,"FINALIZED")</f>
        <v>0</v>
      </c>
      <c r="M2" s="3" t="n">
        <f aca="false">SUMIFS(Périodes!$K:$K,Périodes!$A:$A,A2,Périodes!$C:$C,2026,Périodes!$D:$D,7,Périodes!$E:$E,"FINALIZED")</f>
        <v>0</v>
      </c>
      <c r="N2" s="3" t="n">
        <f aca="false">SUMIFS(Périodes!$K:$K,Périodes!$A:$A,A2,Périodes!$C:$C,2026,Périodes!$D:$D,8,Périodes!$E:$E,"FINALIZED")</f>
        <v>0</v>
      </c>
      <c r="O2" s="3" t="n">
        <f aca="false">SUMIFS(Périodes!$K:$K,Périodes!$A:$A,A2,Périodes!$C:$C,2026,Périodes!$D:$D,9,Périodes!$E:$E,"FINALIZED")</f>
        <v>0</v>
      </c>
      <c r="P2" s="3" t="n">
        <f aca="false">SUMIFS(Périodes!$K:$K,Périodes!$A:$A,A2,Périodes!$C:$C,2026,Périodes!$D:$D,10,Périodes!$E:$E,"FINALIZED")</f>
        <v>0</v>
      </c>
      <c r="Q2" s="3" t="n">
        <f aca="false">SUMIFS(Périodes!$K:$K,Périodes!$A:$A,A2,Périodes!$C:$C,2026,Périodes!$D:$D,11,Périodes!$E:$E,"FINALIZED")</f>
        <v>0</v>
      </c>
      <c r="R2" s="3" t="n">
        <f aca="false">SUMIFS(Périodes!$K:$K,Périodes!$A:$A,A2,Périodes!$C:$C,2026,Périodes!$D:$D,12,Périodes!$E:$E,"FINALIZED")</f>
        <v>0</v>
      </c>
      <c r="S2" s="1" t="str">
        <f aca="false">Détails!N2</f>
        <v/>
      </c>
      <c r="T2" s="1" t="str">
        <f aca="false">Détails!Q2</f>
        <v/>
      </c>
      <c r="U2" s="4" t="n">
        <f aca="false">Détails!P2</f>
        <v>0</v>
      </c>
      <c r="V2" s="1" t="n">
        <f aca="false">Détails!R2</f>
        <v>0</v>
      </c>
      <c r="W2" s="1" t="n">
        <f aca="false">Détails!T2</f>
        <v>0</v>
      </c>
      <c r="X2" s="1" t="n">
        <f aca="false">Détails!U2</f>
        <v>0</v>
      </c>
      <c r="Y2" s="1" t="str">
        <f aca="false">Détails!V2</f>
        <v/>
      </c>
      <c r="Z2" s="1" t="str">
        <f aca="false">Détails!X2</f>
        <v/>
      </c>
      <c r="AA2" s="1" t="str">
        <f aca="false">Détails!Y2</f>
        <v/>
      </c>
      <c r="AB2" s="1" t="str">
        <f aca="false">Détails!Z2</f>
        <v/>
      </c>
      <c r="AC2" s="1" t="str">
        <f aca="false">Détails!AA2</f>
        <v/>
      </c>
      <c r="AD2" s="1" t="str">
        <f aca="false">Détails!AC2</f>
        <v/>
      </c>
      <c r="AE2" s="1" t="str">
        <f aca="false">Détails!AE2</f>
        <v/>
      </c>
      <c r="AF2" s="1" t="str">
        <f aca="false">Détails!AG2</f>
        <v/>
      </c>
      <c r="AG2" s="1" t="str">
        <f aca="false">Détails!AH2</f>
        <v/>
      </c>
      <c r="AH2" s="3" t="str">
        <f aca="false">IF(OR(AC2="",AG2=""),"",AC2+AG2)</f>
        <v/>
      </c>
      <c r="AI2" s="1" t="n">
        <f aca="false">Détails!AI2</f>
        <v>0</v>
      </c>
      <c r="AJ2" s="1" t="n">
        <f aca="false">Détails!AJ2</f>
        <v>0</v>
      </c>
    </row>
    <row r="3" customFormat="false" ht="15" hidden="false" customHeight="true" outlineLevel="0" collapsed="false">
      <c r="A3" s="1" t="s">
        <v>69</v>
      </c>
      <c r="B3" s="1" t="s">
        <v>68</v>
      </c>
      <c r="C3" s="1" t="n">
        <f aca="false">Détails!D3</f>
        <v>0</v>
      </c>
      <c r="D3" s="1" t="n">
        <f aca="false">Détails!E3</f>
        <v>0</v>
      </c>
      <c r="E3" s="4" t="n">
        <f aca="false">Détails!G3</f>
        <v>0</v>
      </c>
      <c r="F3" s="5" t="n">
        <f aca="false">Détails!I3</f>
        <v>0</v>
      </c>
      <c r="G3" s="3" t="n">
        <f aca="false">SUMIFS(Périodes!$K:$K,Périodes!$A:$A,A3,Périodes!$C:$C,2026,Périodes!$D:$D,1,Périodes!$E:$E,"FINALIZED")</f>
        <v>0</v>
      </c>
      <c r="H3" s="3" t="n">
        <f aca="false">SUMIFS(Périodes!$K:$K,Périodes!$A:$A,A3,Périodes!$C:$C,2026,Périodes!$D:$D,2,Périodes!$E:$E,"FINALIZED")</f>
        <v>0</v>
      </c>
      <c r="I3" s="3" t="n">
        <f aca="false">SUMIFS(Périodes!$K:$K,Périodes!$A:$A,A3,Périodes!$C:$C,2026,Périodes!$D:$D,3,Périodes!$E:$E,"FINALIZED")</f>
        <v>0</v>
      </c>
      <c r="J3" s="3" t="n">
        <f aca="false">SUMIFS(Périodes!$K:$K,Périodes!$A:$A,A3,Périodes!$C:$C,2026,Périodes!$D:$D,4,Périodes!$E:$E,"FINALIZED")</f>
        <v>0</v>
      </c>
      <c r="K3" s="3" t="n">
        <f aca="false">SUMIFS(Périodes!$K:$K,Périodes!$A:$A,A3,Périodes!$C:$C,2026,Périodes!$D:$D,5,Périodes!$E:$E,"FINALIZED")</f>
        <v>0</v>
      </c>
      <c r="L3" s="3" t="n">
        <f aca="false">SUMIFS(Périodes!$K:$K,Périodes!$A:$A,A3,Périodes!$C:$C,2026,Périodes!$D:$D,6,Périodes!$E:$E,"FINALIZED")</f>
        <v>0</v>
      </c>
      <c r="M3" s="3" t="n">
        <f aca="false">SUMIFS(Périodes!$K:$K,Périodes!$A:$A,A3,Périodes!$C:$C,2026,Périodes!$D:$D,7,Périodes!$E:$E,"FINALIZED")</f>
        <v>0</v>
      </c>
      <c r="N3" s="3" t="n">
        <f aca="false">SUMIFS(Périodes!$K:$K,Périodes!$A:$A,A3,Périodes!$C:$C,2026,Périodes!$D:$D,8,Périodes!$E:$E,"FINALIZED")</f>
        <v>0</v>
      </c>
      <c r="O3" s="3" t="n">
        <f aca="false">SUMIFS(Périodes!$K:$K,Périodes!$A:$A,A3,Périodes!$C:$C,2026,Périodes!$D:$D,9,Périodes!$E:$E,"FINALIZED")</f>
        <v>0</v>
      </c>
      <c r="P3" s="3" t="n">
        <f aca="false">SUMIFS(Périodes!$K:$K,Périodes!$A:$A,A3,Périodes!$C:$C,2026,Périodes!$D:$D,10,Périodes!$E:$E,"FINALIZED")</f>
        <v>0</v>
      </c>
      <c r="Q3" s="3" t="n">
        <f aca="false">SUMIFS(Périodes!$K:$K,Périodes!$A:$A,A3,Périodes!$C:$C,2026,Périodes!$D:$D,11,Périodes!$E:$E,"FINALIZED")</f>
        <v>0</v>
      </c>
      <c r="R3" s="3" t="n">
        <f aca="false">SUMIFS(Périodes!$K:$K,Périodes!$A:$A,A3,Périodes!$C:$C,2026,Périodes!$D:$D,12,Périodes!$E:$E,"FINALIZED")</f>
        <v>0</v>
      </c>
      <c r="S3" s="1" t="str">
        <f aca="false">Détails!N3</f>
        <v/>
      </c>
      <c r="T3" s="1" t="str">
        <f aca="false">Détails!Q3</f>
        <v/>
      </c>
      <c r="U3" s="4" t="n">
        <f aca="false">Détails!P3</f>
        <v>0</v>
      </c>
      <c r="V3" s="1" t="n">
        <f aca="false">Détails!R3</f>
        <v>0</v>
      </c>
      <c r="W3" s="1" t="n">
        <f aca="false">Détails!T3</f>
        <v>0</v>
      </c>
      <c r="X3" s="1" t="n">
        <f aca="false">Détails!U3</f>
        <v>0</v>
      </c>
      <c r="Y3" s="1" t="str">
        <f aca="false">Détails!V3</f>
        <v/>
      </c>
      <c r="Z3" s="1" t="str">
        <f aca="false">Détails!X3</f>
        <v/>
      </c>
      <c r="AA3" s="1" t="str">
        <f aca="false">Détails!Y3</f>
        <v/>
      </c>
      <c r="AB3" s="1" t="str">
        <f aca="false">Détails!Z3</f>
        <v/>
      </c>
      <c r="AC3" s="1" t="str">
        <f aca="false">Détails!AA3</f>
        <v/>
      </c>
      <c r="AD3" s="1" t="str">
        <f aca="false">Détails!AC3</f>
        <v/>
      </c>
      <c r="AE3" s="1" t="str">
        <f aca="false">Détails!AE3</f>
        <v/>
      </c>
      <c r="AF3" s="1" t="str">
        <f aca="false">Détails!AG3</f>
        <v/>
      </c>
      <c r="AG3" s="1" t="str">
        <f aca="false">Détails!AH3</f>
        <v/>
      </c>
      <c r="AH3" s="3" t="str">
        <f aca="false">IF(OR(AC3="",AG3=""),"",AC3+AG3)</f>
        <v/>
      </c>
      <c r="AI3" s="1" t="n">
        <f aca="false">Détails!AI3</f>
        <v>0</v>
      </c>
      <c r="AJ3" s="1" t="n">
        <f aca="false">Détails!AJ3</f>
        <v>0</v>
      </c>
    </row>
    <row r="4" customFormat="false" ht="15" hidden="false" customHeight="true" outlineLevel="0" collapsed="false">
      <c r="A4" s="1" t="s">
        <v>70</v>
      </c>
      <c r="B4" s="1" t="s">
        <v>68</v>
      </c>
      <c r="C4" s="1" t="n">
        <f aca="false">Détails!D4</f>
        <v>0</v>
      </c>
      <c r="D4" s="1" t="n">
        <f aca="false">Détails!E4</f>
        <v>0</v>
      </c>
      <c r="E4" s="4" t="n">
        <f aca="false">Détails!G4</f>
        <v>0</v>
      </c>
      <c r="F4" s="5" t="n">
        <f aca="false">Détails!I4</f>
        <v>0</v>
      </c>
      <c r="G4" s="3" t="n">
        <f aca="false">SUMIFS(Périodes!$K:$K,Périodes!$A:$A,A4,Périodes!$C:$C,2026,Périodes!$D:$D,1,Périodes!$E:$E,"FINALIZED")</f>
        <v>0</v>
      </c>
      <c r="H4" s="3" t="n">
        <f aca="false">SUMIFS(Périodes!$K:$K,Périodes!$A:$A,A4,Périodes!$C:$C,2026,Périodes!$D:$D,2,Périodes!$E:$E,"FINALIZED")</f>
        <v>0</v>
      </c>
      <c r="I4" s="3" t="n">
        <f aca="false">SUMIFS(Périodes!$K:$K,Périodes!$A:$A,A4,Périodes!$C:$C,2026,Périodes!$D:$D,3,Périodes!$E:$E,"FINALIZED")</f>
        <v>0</v>
      </c>
      <c r="J4" s="3" t="n">
        <f aca="false">SUMIFS(Périodes!$K:$K,Périodes!$A:$A,A4,Périodes!$C:$C,2026,Périodes!$D:$D,4,Périodes!$E:$E,"FINALIZED")</f>
        <v>0</v>
      </c>
      <c r="K4" s="3" t="n">
        <f aca="false">SUMIFS(Périodes!$K:$K,Périodes!$A:$A,A4,Périodes!$C:$C,2026,Périodes!$D:$D,5,Périodes!$E:$E,"FINALIZED")</f>
        <v>0</v>
      </c>
      <c r="L4" s="3" t="n">
        <f aca="false">SUMIFS(Périodes!$K:$K,Périodes!$A:$A,A4,Périodes!$C:$C,2026,Périodes!$D:$D,6,Périodes!$E:$E,"FINALIZED")</f>
        <v>0</v>
      </c>
      <c r="M4" s="3" t="n">
        <f aca="false">SUMIFS(Périodes!$K:$K,Périodes!$A:$A,A4,Périodes!$C:$C,2026,Périodes!$D:$D,7,Périodes!$E:$E,"FINALIZED")</f>
        <v>0</v>
      </c>
      <c r="N4" s="3" t="n">
        <f aca="false">SUMIFS(Périodes!$K:$K,Périodes!$A:$A,A4,Périodes!$C:$C,2026,Périodes!$D:$D,8,Périodes!$E:$E,"FINALIZED")</f>
        <v>0</v>
      </c>
      <c r="O4" s="3" t="n">
        <f aca="false">SUMIFS(Périodes!$K:$K,Périodes!$A:$A,A4,Périodes!$C:$C,2026,Périodes!$D:$D,9,Périodes!$E:$E,"FINALIZED")</f>
        <v>0</v>
      </c>
      <c r="P4" s="3" t="n">
        <f aca="false">SUMIFS(Périodes!$K:$K,Périodes!$A:$A,A4,Périodes!$C:$C,2026,Périodes!$D:$D,10,Périodes!$E:$E,"FINALIZED")</f>
        <v>0</v>
      </c>
      <c r="Q4" s="3" t="n">
        <f aca="false">SUMIFS(Périodes!$K:$K,Périodes!$A:$A,A4,Périodes!$C:$C,2026,Périodes!$D:$D,11,Périodes!$E:$E,"FINALIZED")</f>
        <v>0</v>
      </c>
      <c r="R4" s="3" t="n">
        <f aca="false">SUMIFS(Périodes!$K:$K,Périodes!$A:$A,A4,Périodes!$C:$C,2026,Périodes!$D:$D,12,Périodes!$E:$E,"FINALIZED")</f>
        <v>0</v>
      </c>
      <c r="S4" s="1" t="str">
        <f aca="false">Détails!N4</f>
        <v/>
      </c>
      <c r="T4" s="1" t="str">
        <f aca="false">Détails!Q4</f>
        <v/>
      </c>
      <c r="U4" s="4" t="n">
        <f aca="false">Détails!P4</f>
        <v>0</v>
      </c>
      <c r="V4" s="1" t="n">
        <f aca="false">Détails!R4</f>
        <v>0</v>
      </c>
      <c r="W4" s="1" t="n">
        <f aca="false">Détails!T4</f>
        <v>0</v>
      </c>
      <c r="X4" s="1" t="n">
        <f aca="false">Détails!U4</f>
        <v>0</v>
      </c>
      <c r="Y4" s="1" t="str">
        <f aca="false">Détails!V4</f>
        <v/>
      </c>
      <c r="Z4" s="1" t="str">
        <f aca="false">Détails!X4</f>
        <v/>
      </c>
      <c r="AA4" s="1" t="str">
        <f aca="false">Détails!Y4</f>
        <v/>
      </c>
      <c r="AB4" s="1" t="str">
        <f aca="false">Détails!Z4</f>
        <v/>
      </c>
      <c r="AC4" s="1" t="str">
        <f aca="false">Détails!AA4</f>
        <v/>
      </c>
      <c r="AD4" s="1" t="str">
        <f aca="false">Détails!AC4</f>
        <v/>
      </c>
      <c r="AE4" s="1" t="str">
        <f aca="false">Détails!AE4</f>
        <v/>
      </c>
      <c r="AF4" s="1" t="str">
        <f aca="false">Détails!AG4</f>
        <v/>
      </c>
      <c r="AG4" s="1" t="str">
        <f aca="false">Détails!AH4</f>
        <v/>
      </c>
      <c r="AH4" s="3" t="str">
        <f aca="false">IF(OR(AC4="",AG4=""),"",AC4+AG4)</f>
        <v/>
      </c>
      <c r="AI4" s="1" t="n">
        <f aca="false">Détails!AI4</f>
        <v>0</v>
      </c>
      <c r="AJ4" s="1" t="n">
        <f aca="false">Détails!AJ4</f>
        <v>0</v>
      </c>
    </row>
    <row r="5" customFormat="false" ht="15" hidden="false" customHeight="true" outlineLevel="0" collapsed="false">
      <c r="A5" s="1" t="s">
        <v>71</v>
      </c>
      <c r="B5" s="1" t="s">
        <v>68</v>
      </c>
      <c r="C5" s="1" t="n">
        <f aca="false">Détails!D5</f>
        <v>0</v>
      </c>
      <c r="D5" s="1" t="n">
        <f aca="false">Détails!E5</f>
        <v>0</v>
      </c>
      <c r="E5" s="4" t="n">
        <f aca="false">Détails!G5</f>
        <v>0</v>
      </c>
      <c r="F5" s="5" t="n">
        <f aca="false">Détails!I5</f>
        <v>0</v>
      </c>
      <c r="G5" s="3" t="n">
        <f aca="false">SUMIFS(Périodes!$K:$K,Périodes!$A:$A,A5,Périodes!$C:$C,2026,Périodes!$D:$D,1,Périodes!$E:$E,"FINALIZED")</f>
        <v>0</v>
      </c>
      <c r="H5" s="3" t="n">
        <f aca="false">SUMIFS(Périodes!$K:$K,Périodes!$A:$A,A5,Périodes!$C:$C,2026,Périodes!$D:$D,2,Périodes!$E:$E,"FINALIZED")</f>
        <v>0</v>
      </c>
      <c r="I5" s="3" t="n">
        <f aca="false">SUMIFS(Périodes!$K:$K,Périodes!$A:$A,A5,Périodes!$C:$C,2026,Périodes!$D:$D,3,Périodes!$E:$E,"FINALIZED")</f>
        <v>0</v>
      </c>
      <c r="J5" s="3" t="n">
        <f aca="false">SUMIFS(Périodes!$K:$K,Périodes!$A:$A,A5,Périodes!$C:$C,2026,Périodes!$D:$D,4,Périodes!$E:$E,"FINALIZED")</f>
        <v>0</v>
      </c>
      <c r="K5" s="3" t="n">
        <f aca="false">SUMIFS(Périodes!$K:$K,Périodes!$A:$A,A5,Périodes!$C:$C,2026,Périodes!$D:$D,5,Périodes!$E:$E,"FINALIZED")</f>
        <v>0</v>
      </c>
      <c r="L5" s="3" t="n">
        <f aca="false">SUMIFS(Périodes!$K:$K,Périodes!$A:$A,A5,Périodes!$C:$C,2026,Périodes!$D:$D,6,Périodes!$E:$E,"FINALIZED")</f>
        <v>0</v>
      </c>
      <c r="M5" s="3" t="n">
        <f aca="false">SUMIFS(Périodes!$K:$K,Périodes!$A:$A,A5,Périodes!$C:$C,2026,Périodes!$D:$D,7,Périodes!$E:$E,"FINALIZED")</f>
        <v>0</v>
      </c>
      <c r="N5" s="3" t="n">
        <f aca="false">SUMIFS(Périodes!$K:$K,Périodes!$A:$A,A5,Périodes!$C:$C,2026,Périodes!$D:$D,8,Périodes!$E:$E,"FINALIZED")</f>
        <v>0</v>
      </c>
      <c r="O5" s="3" t="n">
        <f aca="false">SUMIFS(Périodes!$K:$K,Périodes!$A:$A,A5,Périodes!$C:$C,2026,Périodes!$D:$D,9,Périodes!$E:$E,"FINALIZED")</f>
        <v>0</v>
      </c>
      <c r="P5" s="3" t="n">
        <f aca="false">SUMIFS(Périodes!$K:$K,Périodes!$A:$A,A5,Périodes!$C:$C,2026,Périodes!$D:$D,10,Périodes!$E:$E,"FINALIZED")</f>
        <v>0</v>
      </c>
      <c r="Q5" s="3" t="n">
        <f aca="false">SUMIFS(Périodes!$K:$K,Périodes!$A:$A,A5,Périodes!$C:$C,2026,Périodes!$D:$D,11,Périodes!$E:$E,"FINALIZED")</f>
        <v>0</v>
      </c>
      <c r="R5" s="3" t="n">
        <f aca="false">SUMIFS(Périodes!$K:$K,Périodes!$A:$A,A5,Périodes!$C:$C,2026,Périodes!$D:$D,12,Périodes!$E:$E,"FINALIZED")</f>
        <v>0</v>
      </c>
      <c r="S5" s="1" t="str">
        <f aca="false">Détails!N5</f>
        <v/>
      </c>
      <c r="T5" s="1" t="str">
        <f aca="false">Détails!Q5</f>
        <v/>
      </c>
      <c r="U5" s="4" t="n">
        <f aca="false">Détails!P5</f>
        <v>0</v>
      </c>
      <c r="V5" s="1" t="n">
        <f aca="false">Détails!R5</f>
        <v>0</v>
      </c>
      <c r="W5" s="1" t="n">
        <f aca="false">Détails!T5</f>
        <v>0</v>
      </c>
      <c r="X5" s="1" t="n">
        <f aca="false">Détails!U5</f>
        <v>0</v>
      </c>
      <c r="Y5" s="1" t="str">
        <f aca="false">Détails!V5</f>
        <v/>
      </c>
      <c r="Z5" s="1" t="str">
        <f aca="false">Détails!X5</f>
        <v/>
      </c>
      <c r="AA5" s="1" t="str">
        <f aca="false">Détails!Y5</f>
        <v/>
      </c>
      <c r="AB5" s="1" t="str">
        <f aca="false">Détails!Z5</f>
        <v/>
      </c>
      <c r="AC5" s="1" t="str">
        <f aca="false">Détails!AA5</f>
        <v/>
      </c>
      <c r="AD5" s="1" t="str">
        <f aca="false">Détails!AC5</f>
        <v/>
      </c>
      <c r="AE5" s="1" t="str">
        <f aca="false">Détails!AE5</f>
        <v/>
      </c>
      <c r="AF5" s="1" t="str">
        <f aca="false">Détails!AG5</f>
        <v/>
      </c>
      <c r="AG5" s="1" t="str">
        <f aca="false">Détails!AH5</f>
        <v/>
      </c>
      <c r="AH5" s="3" t="str">
        <f aca="false">IF(OR(AC5="",AG5=""),"",AC5+AG5)</f>
        <v/>
      </c>
      <c r="AI5" s="1" t="n">
        <f aca="false">Détails!AI5</f>
        <v>0</v>
      </c>
      <c r="AJ5" s="1" t="n">
        <f aca="false">Détails!AJ5</f>
        <v>0</v>
      </c>
    </row>
    <row r="6" customFormat="false" ht="15" hidden="false" customHeight="true" outlineLevel="0" collapsed="false">
      <c r="A6" s="1" t="s">
        <v>72</v>
      </c>
      <c r="B6" s="1" t="s">
        <v>68</v>
      </c>
      <c r="C6" s="1" t="n">
        <f aca="false">Détails!D6</f>
        <v>0</v>
      </c>
      <c r="D6" s="1" t="n">
        <f aca="false">Détails!E6</f>
        <v>0</v>
      </c>
      <c r="E6" s="4" t="n">
        <f aca="false">Détails!G6</f>
        <v>0</v>
      </c>
      <c r="F6" s="5" t="n">
        <f aca="false">Détails!I6</f>
        <v>0</v>
      </c>
      <c r="G6" s="3" t="n">
        <f aca="false">SUMIFS(Périodes!$K:$K,Périodes!$A:$A,A6,Périodes!$C:$C,2026,Périodes!$D:$D,1,Périodes!$E:$E,"FINALIZED")</f>
        <v>0</v>
      </c>
      <c r="H6" s="3" t="n">
        <f aca="false">SUMIFS(Périodes!$K:$K,Périodes!$A:$A,A6,Périodes!$C:$C,2026,Périodes!$D:$D,2,Périodes!$E:$E,"FINALIZED")</f>
        <v>0</v>
      </c>
      <c r="I6" s="3" t="n">
        <f aca="false">SUMIFS(Périodes!$K:$K,Périodes!$A:$A,A6,Périodes!$C:$C,2026,Périodes!$D:$D,3,Périodes!$E:$E,"FINALIZED")</f>
        <v>0</v>
      </c>
      <c r="J6" s="3" t="n">
        <f aca="false">SUMIFS(Périodes!$K:$K,Périodes!$A:$A,A6,Périodes!$C:$C,2026,Périodes!$D:$D,4,Périodes!$E:$E,"FINALIZED")</f>
        <v>0</v>
      </c>
      <c r="K6" s="3" t="n">
        <f aca="false">SUMIFS(Périodes!$K:$K,Périodes!$A:$A,A6,Périodes!$C:$C,2026,Périodes!$D:$D,5,Périodes!$E:$E,"FINALIZED")</f>
        <v>0</v>
      </c>
      <c r="L6" s="3" t="n">
        <f aca="false">SUMIFS(Périodes!$K:$K,Périodes!$A:$A,A6,Périodes!$C:$C,2026,Périodes!$D:$D,6,Périodes!$E:$E,"FINALIZED")</f>
        <v>0</v>
      </c>
      <c r="M6" s="3" t="n">
        <f aca="false">SUMIFS(Périodes!$K:$K,Périodes!$A:$A,A6,Périodes!$C:$C,2026,Périodes!$D:$D,7,Périodes!$E:$E,"FINALIZED")</f>
        <v>0</v>
      </c>
      <c r="N6" s="3" t="n">
        <f aca="false">SUMIFS(Périodes!$K:$K,Périodes!$A:$A,A6,Périodes!$C:$C,2026,Périodes!$D:$D,8,Périodes!$E:$E,"FINALIZED")</f>
        <v>0</v>
      </c>
      <c r="O6" s="3" t="n">
        <f aca="false">SUMIFS(Périodes!$K:$K,Périodes!$A:$A,A6,Périodes!$C:$C,2026,Périodes!$D:$D,9,Périodes!$E:$E,"FINALIZED")</f>
        <v>0</v>
      </c>
      <c r="P6" s="3" t="n">
        <f aca="false">SUMIFS(Périodes!$K:$K,Périodes!$A:$A,A6,Périodes!$C:$C,2026,Périodes!$D:$D,10,Périodes!$E:$E,"FINALIZED")</f>
        <v>0</v>
      </c>
      <c r="Q6" s="3" t="n">
        <f aca="false">SUMIFS(Périodes!$K:$K,Périodes!$A:$A,A6,Périodes!$C:$C,2026,Périodes!$D:$D,11,Périodes!$E:$E,"FINALIZED")</f>
        <v>0</v>
      </c>
      <c r="R6" s="3" t="n">
        <f aca="false">SUMIFS(Périodes!$K:$K,Périodes!$A:$A,A6,Périodes!$C:$C,2026,Périodes!$D:$D,12,Périodes!$E:$E,"FINALIZED")</f>
        <v>0</v>
      </c>
      <c r="S6" s="1" t="str">
        <f aca="false">Détails!N6</f>
        <v/>
      </c>
      <c r="T6" s="1" t="str">
        <f aca="false">Détails!Q6</f>
        <v/>
      </c>
      <c r="U6" s="4" t="n">
        <f aca="false">Détails!P6</f>
        <v>0</v>
      </c>
      <c r="V6" s="1" t="n">
        <f aca="false">Détails!R6</f>
        <v>0</v>
      </c>
      <c r="W6" s="1" t="n">
        <f aca="false">Détails!T6</f>
        <v>0</v>
      </c>
      <c r="X6" s="1" t="n">
        <f aca="false">Détails!U6</f>
        <v>0</v>
      </c>
      <c r="Y6" s="1" t="str">
        <f aca="false">Détails!V6</f>
        <v/>
      </c>
      <c r="Z6" s="1" t="str">
        <f aca="false">Détails!X6</f>
        <v/>
      </c>
      <c r="AA6" s="1" t="str">
        <f aca="false">Détails!Y6</f>
        <v/>
      </c>
      <c r="AB6" s="1" t="str">
        <f aca="false">Détails!Z6</f>
        <v/>
      </c>
      <c r="AC6" s="1" t="str">
        <f aca="false">Détails!AA6</f>
        <v/>
      </c>
      <c r="AD6" s="1" t="str">
        <f aca="false">Détails!AC6</f>
        <v/>
      </c>
      <c r="AE6" s="1" t="str">
        <f aca="false">Détails!AE6</f>
        <v/>
      </c>
      <c r="AF6" s="1" t="str">
        <f aca="false">Détails!AG6</f>
        <v/>
      </c>
      <c r="AG6" s="1" t="str">
        <f aca="false">Détails!AH6</f>
        <v/>
      </c>
      <c r="AH6" s="3" t="str">
        <f aca="false">IF(OR(AC6="",AG6=""),"",AC6+AG6)</f>
        <v/>
      </c>
      <c r="AI6" s="1" t="n">
        <f aca="false">Détails!AI6</f>
        <v>0</v>
      </c>
      <c r="AJ6" s="1" t="n">
        <f aca="false">Détails!AJ6</f>
        <v>0</v>
      </c>
    </row>
    <row r="7" customFormat="false" ht="15" hidden="false" customHeight="true" outlineLevel="0" collapsed="false">
      <c r="A7" s="1" t="s">
        <v>73</v>
      </c>
      <c r="B7" s="1" t="s">
        <v>68</v>
      </c>
      <c r="C7" s="1" t="n">
        <f aca="false">Détails!D7</f>
        <v>0</v>
      </c>
      <c r="D7" s="1" t="n">
        <f aca="false">Détails!E7</f>
        <v>0</v>
      </c>
      <c r="E7" s="4" t="n">
        <f aca="false">Détails!G7</f>
        <v>0</v>
      </c>
      <c r="F7" s="5" t="n">
        <f aca="false">Détails!I7</f>
        <v>0</v>
      </c>
      <c r="G7" s="3" t="n">
        <f aca="false">SUMIFS(Périodes!$K:$K,Périodes!$A:$A,A7,Périodes!$C:$C,2026,Périodes!$D:$D,1,Périodes!$E:$E,"FINALIZED")</f>
        <v>0</v>
      </c>
      <c r="H7" s="3" t="n">
        <f aca="false">SUMIFS(Périodes!$K:$K,Périodes!$A:$A,A7,Périodes!$C:$C,2026,Périodes!$D:$D,2,Périodes!$E:$E,"FINALIZED")</f>
        <v>0</v>
      </c>
      <c r="I7" s="3" t="n">
        <f aca="false">SUMIFS(Périodes!$K:$K,Périodes!$A:$A,A7,Périodes!$C:$C,2026,Périodes!$D:$D,3,Périodes!$E:$E,"FINALIZED")</f>
        <v>0</v>
      </c>
      <c r="J7" s="3" t="n">
        <f aca="false">SUMIFS(Périodes!$K:$K,Périodes!$A:$A,A7,Périodes!$C:$C,2026,Périodes!$D:$D,4,Périodes!$E:$E,"FINALIZED")</f>
        <v>0</v>
      </c>
      <c r="K7" s="3" t="n">
        <f aca="false">SUMIFS(Périodes!$K:$K,Périodes!$A:$A,A7,Périodes!$C:$C,2026,Périodes!$D:$D,5,Périodes!$E:$E,"FINALIZED")</f>
        <v>0</v>
      </c>
      <c r="L7" s="3" t="n">
        <f aca="false">SUMIFS(Périodes!$K:$K,Périodes!$A:$A,A7,Périodes!$C:$C,2026,Périodes!$D:$D,6,Périodes!$E:$E,"FINALIZED")</f>
        <v>0</v>
      </c>
      <c r="M7" s="3" t="n">
        <f aca="false">SUMIFS(Périodes!$K:$K,Périodes!$A:$A,A7,Périodes!$C:$C,2026,Périodes!$D:$D,7,Périodes!$E:$E,"FINALIZED")</f>
        <v>0</v>
      </c>
      <c r="N7" s="3" t="n">
        <f aca="false">SUMIFS(Périodes!$K:$K,Périodes!$A:$A,A7,Périodes!$C:$C,2026,Périodes!$D:$D,8,Périodes!$E:$E,"FINALIZED")</f>
        <v>0</v>
      </c>
      <c r="O7" s="3" t="n">
        <f aca="false">SUMIFS(Périodes!$K:$K,Périodes!$A:$A,A7,Périodes!$C:$C,2026,Périodes!$D:$D,9,Périodes!$E:$E,"FINALIZED")</f>
        <v>0</v>
      </c>
      <c r="P7" s="3" t="n">
        <f aca="false">SUMIFS(Périodes!$K:$K,Périodes!$A:$A,A7,Périodes!$C:$C,2026,Périodes!$D:$D,10,Périodes!$E:$E,"FINALIZED")</f>
        <v>0</v>
      </c>
      <c r="Q7" s="3" t="n">
        <f aca="false">SUMIFS(Périodes!$K:$K,Périodes!$A:$A,A7,Périodes!$C:$C,2026,Périodes!$D:$D,11,Périodes!$E:$E,"FINALIZED")</f>
        <v>0</v>
      </c>
      <c r="R7" s="3" t="n">
        <f aca="false">SUMIFS(Périodes!$K:$K,Périodes!$A:$A,A7,Périodes!$C:$C,2026,Périodes!$D:$D,12,Périodes!$E:$E,"FINALIZED")</f>
        <v>0</v>
      </c>
      <c r="S7" s="1" t="str">
        <f aca="false">Détails!N7</f>
        <v/>
      </c>
      <c r="T7" s="1" t="str">
        <f aca="false">Détails!Q7</f>
        <v/>
      </c>
      <c r="U7" s="4" t="n">
        <f aca="false">Détails!P7</f>
        <v>0</v>
      </c>
      <c r="V7" s="1" t="n">
        <f aca="false">Détails!R7</f>
        <v>0</v>
      </c>
      <c r="W7" s="1" t="n">
        <f aca="false">Détails!T7</f>
        <v>0</v>
      </c>
      <c r="X7" s="1" t="n">
        <f aca="false">Détails!U7</f>
        <v>0</v>
      </c>
      <c r="Y7" s="1" t="str">
        <f aca="false">Détails!V7</f>
        <v/>
      </c>
      <c r="Z7" s="1" t="str">
        <f aca="false">Détails!X7</f>
        <v/>
      </c>
      <c r="AA7" s="1" t="str">
        <f aca="false">Détails!Y7</f>
        <v/>
      </c>
      <c r="AB7" s="1" t="str">
        <f aca="false">Détails!Z7</f>
        <v/>
      </c>
      <c r="AC7" s="1" t="str">
        <f aca="false">Détails!AA7</f>
        <v/>
      </c>
      <c r="AD7" s="1" t="str">
        <f aca="false">Détails!AC7</f>
        <v/>
      </c>
      <c r="AE7" s="1" t="str">
        <f aca="false">Détails!AE7</f>
        <v/>
      </c>
      <c r="AF7" s="1" t="str">
        <f aca="false">Détails!AG7</f>
        <v/>
      </c>
      <c r="AG7" s="1" t="str">
        <f aca="false">Détails!AH7</f>
        <v/>
      </c>
      <c r="AH7" s="3" t="str">
        <f aca="false">IF(OR(AC7="",AG7=""),"",AC7+AG7)</f>
        <v/>
      </c>
      <c r="AI7" s="1" t="n">
        <f aca="false">Détails!AI7</f>
        <v>0</v>
      </c>
      <c r="AJ7" s="1" t="n">
        <f aca="false">Détails!AJ7</f>
        <v>0</v>
      </c>
    </row>
    <row r="8" customFormat="false" ht="15" hidden="false" customHeight="true" outlineLevel="0" collapsed="false">
      <c r="A8" s="1" t="s">
        <v>74</v>
      </c>
      <c r="B8" s="1" t="s">
        <v>68</v>
      </c>
      <c r="C8" s="1" t="n">
        <f aca="false">Détails!D8</f>
        <v>0</v>
      </c>
      <c r="D8" s="1" t="n">
        <f aca="false">Détails!E8</f>
        <v>0</v>
      </c>
      <c r="E8" s="4" t="n">
        <f aca="false">Détails!G8</f>
        <v>0</v>
      </c>
      <c r="F8" s="5" t="n">
        <f aca="false">Détails!I8</f>
        <v>0</v>
      </c>
      <c r="G8" s="3" t="n">
        <f aca="false">SUMIFS(Périodes!$K:$K,Périodes!$A:$A,A8,Périodes!$C:$C,2026,Périodes!$D:$D,1,Périodes!$E:$E,"FINALIZED")</f>
        <v>0</v>
      </c>
      <c r="H8" s="3" t="n">
        <f aca="false">SUMIFS(Périodes!$K:$K,Périodes!$A:$A,A8,Périodes!$C:$C,2026,Périodes!$D:$D,2,Périodes!$E:$E,"FINALIZED")</f>
        <v>0</v>
      </c>
      <c r="I8" s="3" t="n">
        <f aca="false">SUMIFS(Périodes!$K:$K,Périodes!$A:$A,A8,Périodes!$C:$C,2026,Périodes!$D:$D,3,Périodes!$E:$E,"FINALIZED")</f>
        <v>0</v>
      </c>
      <c r="J8" s="3" t="n">
        <f aca="false">SUMIFS(Périodes!$K:$K,Périodes!$A:$A,A8,Périodes!$C:$C,2026,Périodes!$D:$D,4,Périodes!$E:$E,"FINALIZED")</f>
        <v>0</v>
      </c>
      <c r="K8" s="3" t="n">
        <f aca="false">SUMIFS(Périodes!$K:$K,Périodes!$A:$A,A8,Périodes!$C:$C,2026,Périodes!$D:$D,5,Périodes!$E:$E,"FINALIZED")</f>
        <v>0</v>
      </c>
      <c r="L8" s="3" t="n">
        <f aca="false">SUMIFS(Périodes!$K:$K,Périodes!$A:$A,A8,Périodes!$C:$C,2026,Périodes!$D:$D,6,Périodes!$E:$E,"FINALIZED")</f>
        <v>0</v>
      </c>
      <c r="M8" s="3" t="n">
        <f aca="false">SUMIFS(Périodes!$K:$K,Périodes!$A:$A,A8,Périodes!$C:$C,2026,Périodes!$D:$D,7,Périodes!$E:$E,"FINALIZED")</f>
        <v>0</v>
      </c>
      <c r="N8" s="3" t="n">
        <f aca="false">SUMIFS(Périodes!$K:$K,Périodes!$A:$A,A8,Périodes!$C:$C,2026,Périodes!$D:$D,8,Périodes!$E:$E,"FINALIZED")</f>
        <v>0</v>
      </c>
      <c r="O8" s="3" t="n">
        <f aca="false">SUMIFS(Périodes!$K:$K,Périodes!$A:$A,A8,Périodes!$C:$C,2026,Périodes!$D:$D,9,Périodes!$E:$E,"FINALIZED")</f>
        <v>0</v>
      </c>
      <c r="P8" s="3" t="n">
        <f aca="false">SUMIFS(Périodes!$K:$K,Périodes!$A:$A,A8,Périodes!$C:$C,2026,Périodes!$D:$D,10,Périodes!$E:$E,"FINALIZED")</f>
        <v>0</v>
      </c>
      <c r="Q8" s="3" t="n">
        <f aca="false">SUMIFS(Périodes!$K:$K,Périodes!$A:$A,A8,Périodes!$C:$C,2026,Périodes!$D:$D,11,Périodes!$E:$E,"FINALIZED")</f>
        <v>0</v>
      </c>
      <c r="R8" s="3" t="n">
        <f aca="false">SUMIFS(Périodes!$K:$K,Périodes!$A:$A,A8,Périodes!$C:$C,2026,Périodes!$D:$D,12,Périodes!$E:$E,"FINALIZED")</f>
        <v>0</v>
      </c>
      <c r="S8" s="1" t="str">
        <f aca="false">Détails!N8</f>
        <v/>
      </c>
      <c r="T8" s="1" t="str">
        <f aca="false">Détails!Q8</f>
        <v/>
      </c>
      <c r="U8" s="4" t="n">
        <f aca="false">Détails!P8</f>
        <v>0</v>
      </c>
      <c r="V8" s="1" t="n">
        <f aca="false">Détails!R8</f>
        <v>0</v>
      </c>
      <c r="W8" s="1" t="n">
        <f aca="false">Détails!T8</f>
        <v>0</v>
      </c>
      <c r="X8" s="1" t="n">
        <f aca="false">Détails!U8</f>
        <v>0</v>
      </c>
      <c r="Y8" s="1" t="str">
        <f aca="false">Détails!V8</f>
        <v/>
      </c>
      <c r="Z8" s="1" t="str">
        <f aca="false">Détails!X8</f>
        <v/>
      </c>
      <c r="AA8" s="1" t="str">
        <f aca="false">Détails!Y8</f>
        <v/>
      </c>
      <c r="AB8" s="1" t="str">
        <f aca="false">Détails!Z8</f>
        <v/>
      </c>
      <c r="AC8" s="1" t="str">
        <f aca="false">Détails!AA8</f>
        <v/>
      </c>
      <c r="AD8" s="1" t="str">
        <f aca="false">Détails!AC8</f>
        <v/>
      </c>
      <c r="AE8" s="1" t="str">
        <f aca="false">Détails!AE8</f>
        <v/>
      </c>
      <c r="AF8" s="1" t="str">
        <f aca="false">Détails!AG8</f>
        <v/>
      </c>
      <c r="AG8" s="1" t="str">
        <f aca="false">Détails!AH8</f>
        <v/>
      </c>
      <c r="AH8" s="3" t="str">
        <f aca="false">IF(OR(AC8="",AG8=""),"",AC8+AG8)</f>
        <v/>
      </c>
      <c r="AI8" s="1" t="n">
        <f aca="false">Détails!AI8</f>
        <v>0</v>
      </c>
      <c r="AJ8" s="1" t="n">
        <f aca="false">Détails!AJ8</f>
        <v>0</v>
      </c>
    </row>
    <row r="9" customFormat="false" ht="15" hidden="false" customHeight="true" outlineLevel="0" collapsed="false">
      <c r="A9" s="1" t="s">
        <v>75</v>
      </c>
      <c r="B9" s="1" t="s">
        <v>68</v>
      </c>
      <c r="C9" s="1" t="n">
        <f aca="false">Détails!D9</f>
        <v>0</v>
      </c>
      <c r="D9" s="1" t="n">
        <f aca="false">Détails!E9</f>
        <v>0</v>
      </c>
      <c r="E9" s="4" t="n">
        <f aca="false">Détails!G9</f>
        <v>0</v>
      </c>
      <c r="F9" s="5" t="n">
        <f aca="false">Détails!I9</f>
        <v>0</v>
      </c>
      <c r="G9" s="3" t="n">
        <f aca="false">SUMIFS(Périodes!$K:$K,Périodes!$A:$A,A9,Périodes!$C:$C,2026,Périodes!$D:$D,1,Périodes!$E:$E,"FINALIZED")</f>
        <v>0</v>
      </c>
      <c r="H9" s="3" t="n">
        <f aca="false">SUMIFS(Périodes!$K:$K,Périodes!$A:$A,A9,Périodes!$C:$C,2026,Périodes!$D:$D,2,Périodes!$E:$E,"FINALIZED")</f>
        <v>0</v>
      </c>
      <c r="I9" s="3" t="n">
        <f aca="false">SUMIFS(Périodes!$K:$K,Périodes!$A:$A,A9,Périodes!$C:$C,2026,Périodes!$D:$D,3,Périodes!$E:$E,"FINALIZED")</f>
        <v>0</v>
      </c>
      <c r="J9" s="3" t="n">
        <f aca="false">SUMIFS(Périodes!$K:$K,Périodes!$A:$A,A9,Périodes!$C:$C,2026,Périodes!$D:$D,4,Périodes!$E:$E,"FINALIZED")</f>
        <v>0</v>
      </c>
      <c r="K9" s="3" t="n">
        <f aca="false">SUMIFS(Périodes!$K:$K,Périodes!$A:$A,A9,Périodes!$C:$C,2026,Périodes!$D:$D,5,Périodes!$E:$E,"FINALIZED")</f>
        <v>0</v>
      </c>
      <c r="L9" s="3" t="n">
        <f aca="false">SUMIFS(Périodes!$K:$K,Périodes!$A:$A,A9,Périodes!$C:$C,2026,Périodes!$D:$D,6,Périodes!$E:$E,"FINALIZED")</f>
        <v>0</v>
      </c>
      <c r="M9" s="3" t="n">
        <f aca="false">SUMIFS(Périodes!$K:$K,Périodes!$A:$A,A9,Périodes!$C:$C,2026,Périodes!$D:$D,7,Périodes!$E:$E,"FINALIZED")</f>
        <v>0</v>
      </c>
      <c r="N9" s="3" t="n">
        <f aca="false">SUMIFS(Périodes!$K:$K,Périodes!$A:$A,A9,Périodes!$C:$C,2026,Périodes!$D:$D,8,Périodes!$E:$E,"FINALIZED")</f>
        <v>0</v>
      </c>
      <c r="O9" s="3" t="n">
        <f aca="false">SUMIFS(Périodes!$K:$K,Périodes!$A:$A,A9,Périodes!$C:$C,2026,Périodes!$D:$D,9,Périodes!$E:$E,"FINALIZED")</f>
        <v>0</v>
      </c>
      <c r="P9" s="3" t="n">
        <f aca="false">SUMIFS(Périodes!$K:$K,Périodes!$A:$A,A9,Périodes!$C:$C,2026,Périodes!$D:$D,10,Périodes!$E:$E,"FINALIZED")</f>
        <v>0</v>
      </c>
      <c r="Q9" s="3" t="n">
        <f aca="false">SUMIFS(Périodes!$K:$K,Périodes!$A:$A,A9,Périodes!$C:$C,2026,Périodes!$D:$D,11,Périodes!$E:$E,"FINALIZED")</f>
        <v>0</v>
      </c>
      <c r="R9" s="3" t="n">
        <f aca="false">SUMIFS(Périodes!$K:$K,Périodes!$A:$A,A9,Périodes!$C:$C,2026,Périodes!$D:$D,12,Périodes!$E:$E,"FINALIZED")</f>
        <v>0</v>
      </c>
      <c r="S9" s="1" t="str">
        <f aca="false">Détails!N9</f>
        <v/>
      </c>
      <c r="T9" s="1" t="str">
        <f aca="false">Détails!Q9</f>
        <v/>
      </c>
      <c r="U9" s="4" t="n">
        <f aca="false">Détails!P9</f>
        <v>0</v>
      </c>
      <c r="V9" s="1" t="n">
        <f aca="false">Détails!R9</f>
        <v>0</v>
      </c>
      <c r="W9" s="1" t="n">
        <f aca="false">Détails!T9</f>
        <v>0</v>
      </c>
      <c r="X9" s="1" t="n">
        <f aca="false">Détails!U9</f>
        <v>0</v>
      </c>
      <c r="Y9" s="1" t="str">
        <f aca="false">Détails!V9</f>
        <v/>
      </c>
      <c r="Z9" s="1" t="str">
        <f aca="false">Détails!X9</f>
        <v/>
      </c>
      <c r="AA9" s="1" t="str">
        <f aca="false">Détails!Y9</f>
        <v/>
      </c>
      <c r="AB9" s="1" t="str">
        <f aca="false">Détails!Z9</f>
        <v/>
      </c>
      <c r="AC9" s="1" t="str">
        <f aca="false">Détails!AA9</f>
        <v/>
      </c>
      <c r="AD9" s="1" t="str">
        <f aca="false">Détails!AC9</f>
        <v/>
      </c>
      <c r="AE9" s="1" t="str">
        <f aca="false">Détails!AE9</f>
        <v/>
      </c>
      <c r="AF9" s="1" t="str">
        <f aca="false">Détails!AG9</f>
        <v/>
      </c>
      <c r="AG9" s="1" t="str">
        <f aca="false">Détails!AH9</f>
        <v/>
      </c>
      <c r="AH9" s="3" t="str">
        <f aca="false">IF(OR(AC9="",AG9=""),"",AC9+AG9)</f>
        <v/>
      </c>
      <c r="AI9" s="1" t="n">
        <f aca="false">Détails!AI9</f>
        <v>0</v>
      </c>
      <c r="AJ9" s="1" t="n">
        <f aca="false">Détails!AJ9</f>
        <v>0</v>
      </c>
    </row>
    <row r="10" customFormat="false" ht="15" hidden="false" customHeight="true" outlineLevel="0" collapsed="false">
      <c r="A10" s="1" t="s">
        <v>76</v>
      </c>
      <c r="B10" s="1" t="s">
        <v>68</v>
      </c>
      <c r="C10" s="1" t="n">
        <f aca="false">Détails!D10</f>
        <v>0</v>
      </c>
      <c r="D10" s="1" t="n">
        <f aca="false">Détails!E10</f>
        <v>0</v>
      </c>
      <c r="E10" s="4" t="n">
        <f aca="false">Détails!G10</f>
        <v>0</v>
      </c>
      <c r="F10" s="5" t="n">
        <f aca="false">Détails!I10</f>
        <v>0</v>
      </c>
      <c r="G10" s="3" t="n">
        <f aca="false">SUMIFS(Périodes!$K:$K,Périodes!$A:$A,A10,Périodes!$C:$C,2026,Périodes!$D:$D,1,Périodes!$E:$E,"FINALIZED")</f>
        <v>0</v>
      </c>
      <c r="H10" s="3" t="n">
        <f aca="false">SUMIFS(Périodes!$K:$K,Périodes!$A:$A,A10,Périodes!$C:$C,2026,Périodes!$D:$D,2,Périodes!$E:$E,"FINALIZED")</f>
        <v>0</v>
      </c>
      <c r="I10" s="3" t="n">
        <f aca="false">SUMIFS(Périodes!$K:$K,Périodes!$A:$A,A10,Périodes!$C:$C,2026,Périodes!$D:$D,3,Périodes!$E:$E,"FINALIZED")</f>
        <v>0</v>
      </c>
      <c r="J10" s="3" t="n">
        <f aca="false">SUMIFS(Périodes!$K:$K,Périodes!$A:$A,A10,Périodes!$C:$C,2026,Périodes!$D:$D,4,Périodes!$E:$E,"FINALIZED")</f>
        <v>0</v>
      </c>
      <c r="K10" s="3" t="n">
        <f aca="false">SUMIFS(Périodes!$K:$K,Périodes!$A:$A,A10,Périodes!$C:$C,2026,Périodes!$D:$D,5,Périodes!$E:$E,"FINALIZED")</f>
        <v>0</v>
      </c>
      <c r="L10" s="3" t="n">
        <f aca="false">SUMIFS(Périodes!$K:$K,Périodes!$A:$A,A10,Périodes!$C:$C,2026,Périodes!$D:$D,6,Périodes!$E:$E,"FINALIZED")</f>
        <v>0</v>
      </c>
      <c r="M10" s="3" t="n">
        <f aca="false">SUMIFS(Périodes!$K:$K,Périodes!$A:$A,A10,Périodes!$C:$C,2026,Périodes!$D:$D,7,Périodes!$E:$E,"FINALIZED")</f>
        <v>0</v>
      </c>
      <c r="N10" s="3" t="n">
        <f aca="false">SUMIFS(Périodes!$K:$K,Périodes!$A:$A,A10,Périodes!$C:$C,2026,Périodes!$D:$D,8,Périodes!$E:$E,"FINALIZED")</f>
        <v>0</v>
      </c>
      <c r="O10" s="3" t="n">
        <f aca="false">SUMIFS(Périodes!$K:$K,Périodes!$A:$A,A10,Périodes!$C:$C,2026,Périodes!$D:$D,9,Périodes!$E:$E,"FINALIZED")</f>
        <v>0</v>
      </c>
      <c r="P10" s="3" t="n">
        <f aca="false">SUMIFS(Périodes!$K:$K,Périodes!$A:$A,A10,Périodes!$C:$C,2026,Périodes!$D:$D,10,Périodes!$E:$E,"FINALIZED")</f>
        <v>0</v>
      </c>
      <c r="Q10" s="3" t="n">
        <f aca="false">SUMIFS(Périodes!$K:$K,Périodes!$A:$A,A10,Périodes!$C:$C,2026,Périodes!$D:$D,11,Périodes!$E:$E,"FINALIZED")</f>
        <v>0</v>
      </c>
      <c r="R10" s="3" t="n">
        <f aca="false">SUMIFS(Périodes!$K:$K,Périodes!$A:$A,A10,Périodes!$C:$C,2026,Périodes!$D:$D,12,Périodes!$E:$E,"FINALIZED")</f>
        <v>0</v>
      </c>
      <c r="S10" s="1" t="str">
        <f aca="false">Détails!N10</f>
        <v/>
      </c>
      <c r="T10" s="1" t="str">
        <f aca="false">Détails!Q10</f>
        <v/>
      </c>
      <c r="U10" s="4" t="n">
        <f aca="false">Détails!P10</f>
        <v>0</v>
      </c>
      <c r="V10" s="1" t="n">
        <f aca="false">Détails!R10</f>
        <v>0</v>
      </c>
      <c r="W10" s="1" t="n">
        <f aca="false">Détails!T10</f>
        <v>0</v>
      </c>
      <c r="X10" s="1" t="n">
        <f aca="false">Détails!U10</f>
        <v>0</v>
      </c>
      <c r="Y10" s="1" t="str">
        <f aca="false">Détails!V10</f>
        <v/>
      </c>
      <c r="Z10" s="1" t="str">
        <f aca="false">Détails!X10</f>
        <v/>
      </c>
      <c r="AA10" s="1" t="str">
        <f aca="false">Détails!Y10</f>
        <v/>
      </c>
      <c r="AB10" s="1" t="str">
        <f aca="false">Détails!Z10</f>
        <v/>
      </c>
      <c r="AC10" s="1" t="str">
        <f aca="false">Détails!AA10</f>
        <v/>
      </c>
      <c r="AD10" s="1" t="str">
        <f aca="false">Détails!AC10</f>
        <v/>
      </c>
      <c r="AE10" s="1" t="str">
        <f aca="false">Détails!AE10</f>
        <v/>
      </c>
      <c r="AF10" s="1" t="str">
        <f aca="false">Détails!AG10</f>
        <v/>
      </c>
      <c r="AG10" s="1" t="str">
        <f aca="false">Détails!AH10</f>
        <v/>
      </c>
      <c r="AH10" s="3" t="str">
        <f aca="false">IF(OR(AC10="",AG10=""),"",AC10+AG10)</f>
        <v/>
      </c>
      <c r="AI10" s="1" t="n">
        <f aca="false">Détails!AI10</f>
        <v>0</v>
      </c>
      <c r="AJ10" s="1" t="n">
        <f aca="false">Détails!AJ10</f>
        <v>0</v>
      </c>
    </row>
    <row r="11" customFormat="false" ht="15" hidden="false" customHeight="true" outlineLevel="0" collapsed="false">
      <c r="A11" s="1" t="s">
        <v>77</v>
      </c>
      <c r="B11" s="1" t="s">
        <v>68</v>
      </c>
      <c r="C11" s="1" t="n">
        <f aca="false">Détails!D11</f>
        <v>0</v>
      </c>
      <c r="D11" s="1" t="n">
        <f aca="false">Détails!E11</f>
        <v>0</v>
      </c>
      <c r="E11" s="4" t="n">
        <f aca="false">Détails!G11</f>
        <v>0</v>
      </c>
      <c r="F11" s="5" t="n">
        <f aca="false">Détails!I11</f>
        <v>0</v>
      </c>
      <c r="G11" s="3" t="n">
        <f aca="false">SUMIFS(Périodes!$K:$K,Périodes!$A:$A,A11,Périodes!$C:$C,2026,Périodes!$D:$D,1,Périodes!$E:$E,"FINALIZED")</f>
        <v>0</v>
      </c>
      <c r="H11" s="3" t="n">
        <f aca="false">SUMIFS(Périodes!$K:$K,Périodes!$A:$A,A11,Périodes!$C:$C,2026,Périodes!$D:$D,2,Périodes!$E:$E,"FINALIZED")</f>
        <v>0</v>
      </c>
      <c r="I11" s="3" t="n">
        <f aca="false">SUMIFS(Périodes!$K:$K,Périodes!$A:$A,A11,Périodes!$C:$C,2026,Périodes!$D:$D,3,Périodes!$E:$E,"FINALIZED")</f>
        <v>0</v>
      </c>
      <c r="J11" s="3" t="n">
        <f aca="false">SUMIFS(Périodes!$K:$K,Périodes!$A:$A,A11,Périodes!$C:$C,2026,Périodes!$D:$D,4,Périodes!$E:$E,"FINALIZED")</f>
        <v>0</v>
      </c>
      <c r="K11" s="3" t="n">
        <f aca="false">SUMIFS(Périodes!$K:$K,Périodes!$A:$A,A11,Périodes!$C:$C,2026,Périodes!$D:$D,5,Périodes!$E:$E,"FINALIZED")</f>
        <v>0</v>
      </c>
      <c r="L11" s="3" t="n">
        <f aca="false">SUMIFS(Périodes!$K:$K,Périodes!$A:$A,A11,Périodes!$C:$C,2026,Périodes!$D:$D,6,Périodes!$E:$E,"FINALIZED")</f>
        <v>0</v>
      </c>
      <c r="M11" s="3" t="n">
        <f aca="false">SUMIFS(Périodes!$K:$K,Périodes!$A:$A,A11,Périodes!$C:$C,2026,Périodes!$D:$D,7,Périodes!$E:$E,"FINALIZED")</f>
        <v>0</v>
      </c>
      <c r="N11" s="3" t="n">
        <f aca="false">SUMIFS(Périodes!$K:$K,Périodes!$A:$A,A11,Périodes!$C:$C,2026,Périodes!$D:$D,8,Périodes!$E:$E,"FINALIZED")</f>
        <v>0</v>
      </c>
      <c r="O11" s="3" t="n">
        <f aca="false">SUMIFS(Périodes!$K:$K,Périodes!$A:$A,A11,Périodes!$C:$C,2026,Périodes!$D:$D,9,Périodes!$E:$E,"FINALIZED")</f>
        <v>0</v>
      </c>
      <c r="P11" s="3" t="n">
        <f aca="false">SUMIFS(Périodes!$K:$K,Périodes!$A:$A,A11,Périodes!$C:$C,2026,Périodes!$D:$D,10,Périodes!$E:$E,"FINALIZED")</f>
        <v>0</v>
      </c>
      <c r="Q11" s="3" t="n">
        <f aca="false">SUMIFS(Périodes!$K:$K,Périodes!$A:$A,A11,Périodes!$C:$C,2026,Périodes!$D:$D,11,Périodes!$E:$E,"FINALIZED")</f>
        <v>0</v>
      </c>
      <c r="R11" s="3" t="n">
        <f aca="false">SUMIFS(Périodes!$K:$K,Périodes!$A:$A,A11,Périodes!$C:$C,2026,Périodes!$D:$D,12,Périodes!$E:$E,"FINALIZED")</f>
        <v>0</v>
      </c>
      <c r="S11" s="1" t="str">
        <f aca="false">Détails!N11</f>
        <v/>
      </c>
      <c r="T11" s="1" t="str">
        <f aca="false">Détails!Q11</f>
        <v/>
      </c>
      <c r="U11" s="4" t="n">
        <f aca="false">Détails!P11</f>
        <v>0</v>
      </c>
      <c r="V11" s="1" t="n">
        <f aca="false">Détails!R11</f>
        <v>0</v>
      </c>
      <c r="W11" s="1" t="n">
        <f aca="false">Détails!T11</f>
        <v>0</v>
      </c>
      <c r="X11" s="1" t="n">
        <f aca="false">Détails!U11</f>
        <v>0</v>
      </c>
      <c r="Y11" s="1" t="str">
        <f aca="false">Détails!V11</f>
        <v/>
      </c>
      <c r="Z11" s="1" t="str">
        <f aca="false">Détails!X11</f>
        <v/>
      </c>
      <c r="AA11" s="1" t="str">
        <f aca="false">Détails!Y11</f>
        <v/>
      </c>
      <c r="AB11" s="1" t="str">
        <f aca="false">Détails!Z11</f>
        <v/>
      </c>
      <c r="AC11" s="1" t="str">
        <f aca="false">Détails!AA11</f>
        <v/>
      </c>
      <c r="AD11" s="1" t="str">
        <f aca="false">Détails!AC11</f>
        <v/>
      </c>
      <c r="AE11" s="1" t="str">
        <f aca="false">Détails!AE11</f>
        <v/>
      </c>
      <c r="AF11" s="1" t="str">
        <f aca="false">Détails!AG11</f>
        <v/>
      </c>
      <c r="AG11" s="1" t="str">
        <f aca="false">Détails!AH11</f>
        <v/>
      </c>
      <c r="AH11" s="3" t="str">
        <f aca="false">IF(OR(AC11="",AG11=""),"",AC11+AG11)</f>
        <v/>
      </c>
      <c r="AI11" s="1" t="n">
        <f aca="false">Détails!AI11</f>
        <v>0</v>
      </c>
      <c r="AJ11" s="1" t="n">
        <f aca="false">Détails!AJ11</f>
        <v>0</v>
      </c>
    </row>
    <row r="12" customFormat="false" ht="15" hidden="false" customHeight="true" outlineLevel="0" collapsed="false">
      <c r="A12" s="1" t="s">
        <v>78</v>
      </c>
      <c r="B12" s="1" t="s">
        <v>68</v>
      </c>
      <c r="C12" s="1" t="n">
        <f aca="false">Détails!D12</f>
        <v>0</v>
      </c>
      <c r="D12" s="1" t="n">
        <f aca="false">Détails!E12</f>
        <v>0</v>
      </c>
      <c r="E12" s="4" t="n">
        <f aca="false">Détails!G12</f>
        <v>0</v>
      </c>
      <c r="F12" s="5" t="n">
        <f aca="false">Détails!I12</f>
        <v>0</v>
      </c>
      <c r="G12" s="3" t="n">
        <f aca="false">SUMIFS(Périodes!$K:$K,Périodes!$A:$A,A12,Périodes!$C:$C,2026,Périodes!$D:$D,1,Périodes!$E:$E,"FINALIZED")</f>
        <v>0</v>
      </c>
      <c r="H12" s="3" t="n">
        <f aca="false">SUMIFS(Périodes!$K:$K,Périodes!$A:$A,A12,Périodes!$C:$C,2026,Périodes!$D:$D,2,Périodes!$E:$E,"FINALIZED")</f>
        <v>0</v>
      </c>
      <c r="I12" s="3" t="n">
        <f aca="false">SUMIFS(Périodes!$K:$K,Périodes!$A:$A,A12,Périodes!$C:$C,2026,Périodes!$D:$D,3,Périodes!$E:$E,"FINALIZED")</f>
        <v>0</v>
      </c>
      <c r="J12" s="3" t="n">
        <f aca="false">SUMIFS(Périodes!$K:$K,Périodes!$A:$A,A12,Périodes!$C:$C,2026,Périodes!$D:$D,4,Périodes!$E:$E,"FINALIZED")</f>
        <v>0</v>
      </c>
      <c r="K12" s="3" t="n">
        <f aca="false">SUMIFS(Périodes!$K:$K,Périodes!$A:$A,A12,Périodes!$C:$C,2026,Périodes!$D:$D,5,Périodes!$E:$E,"FINALIZED")</f>
        <v>0</v>
      </c>
      <c r="L12" s="3" t="n">
        <f aca="false">SUMIFS(Périodes!$K:$K,Périodes!$A:$A,A12,Périodes!$C:$C,2026,Périodes!$D:$D,6,Périodes!$E:$E,"FINALIZED")</f>
        <v>0</v>
      </c>
      <c r="M12" s="3" t="n">
        <f aca="false">SUMIFS(Périodes!$K:$K,Périodes!$A:$A,A12,Périodes!$C:$C,2026,Périodes!$D:$D,7,Périodes!$E:$E,"FINALIZED")</f>
        <v>0</v>
      </c>
      <c r="N12" s="3" t="n">
        <f aca="false">SUMIFS(Périodes!$K:$K,Périodes!$A:$A,A12,Périodes!$C:$C,2026,Périodes!$D:$D,8,Périodes!$E:$E,"FINALIZED")</f>
        <v>0</v>
      </c>
      <c r="O12" s="3" t="n">
        <f aca="false">SUMIFS(Périodes!$K:$K,Périodes!$A:$A,A12,Périodes!$C:$C,2026,Périodes!$D:$D,9,Périodes!$E:$E,"FINALIZED")</f>
        <v>0</v>
      </c>
      <c r="P12" s="3" t="n">
        <f aca="false">SUMIFS(Périodes!$K:$K,Périodes!$A:$A,A12,Périodes!$C:$C,2026,Périodes!$D:$D,10,Périodes!$E:$E,"FINALIZED")</f>
        <v>0</v>
      </c>
      <c r="Q12" s="3" t="n">
        <f aca="false">SUMIFS(Périodes!$K:$K,Périodes!$A:$A,A12,Périodes!$C:$C,2026,Périodes!$D:$D,11,Périodes!$E:$E,"FINALIZED")</f>
        <v>0</v>
      </c>
      <c r="R12" s="3" t="n">
        <f aca="false">SUMIFS(Périodes!$K:$K,Périodes!$A:$A,A12,Périodes!$C:$C,2026,Périodes!$D:$D,12,Périodes!$E:$E,"FINALIZED")</f>
        <v>0</v>
      </c>
      <c r="S12" s="1" t="str">
        <f aca="false">Détails!N12</f>
        <v/>
      </c>
      <c r="T12" s="1" t="str">
        <f aca="false">Détails!Q12</f>
        <v/>
      </c>
      <c r="U12" s="4" t="n">
        <f aca="false">Détails!P12</f>
        <v>0</v>
      </c>
      <c r="V12" s="1" t="n">
        <f aca="false">Détails!R12</f>
        <v>0</v>
      </c>
      <c r="W12" s="1" t="n">
        <f aca="false">Détails!T12</f>
        <v>0</v>
      </c>
      <c r="X12" s="1" t="n">
        <f aca="false">Détails!U12</f>
        <v>0</v>
      </c>
      <c r="Y12" s="1" t="str">
        <f aca="false">Détails!V12</f>
        <v/>
      </c>
      <c r="Z12" s="1" t="str">
        <f aca="false">Détails!X12</f>
        <v/>
      </c>
      <c r="AA12" s="1" t="str">
        <f aca="false">Détails!Y12</f>
        <v/>
      </c>
      <c r="AB12" s="1" t="str">
        <f aca="false">Détails!Z12</f>
        <v/>
      </c>
      <c r="AC12" s="1" t="str">
        <f aca="false">Détails!AA12</f>
        <v/>
      </c>
      <c r="AD12" s="1" t="str">
        <f aca="false">Détails!AC12</f>
        <v/>
      </c>
      <c r="AE12" s="1" t="str">
        <f aca="false">Détails!AE12</f>
        <v/>
      </c>
      <c r="AF12" s="1" t="str">
        <f aca="false">Détails!AG12</f>
        <v/>
      </c>
      <c r="AG12" s="1" t="str">
        <f aca="false">Détails!AH12</f>
        <v/>
      </c>
      <c r="AH12" s="3" t="str">
        <f aca="false">IF(OR(AC12="",AG12=""),"",AC12+AG12)</f>
        <v/>
      </c>
      <c r="AI12" s="1" t="n">
        <f aca="false">Détails!AI12</f>
        <v>0</v>
      </c>
      <c r="AJ12" s="1" t="n">
        <f aca="false">Détails!AJ12</f>
        <v>0</v>
      </c>
    </row>
    <row r="13" customFormat="false" ht="15" hidden="false" customHeight="true" outlineLevel="0" collapsed="false">
      <c r="A13" s="1" t="s">
        <v>79</v>
      </c>
      <c r="B13" s="1" t="s">
        <v>68</v>
      </c>
      <c r="C13" s="1" t="n">
        <f aca="false">Détails!D13</f>
        <v>0</v>
      </c>
      <c r="D13" s="1" t="n">
        <f aca="false">Détails!E13</f>
        <v>0</v>
      </c>
      <c r="E13" s="4" t="n">
        <f aca="false">Détails!G13</f>
        <v>0</v>
      </c>
      <c r="F13" s="5" t="n">
        <f aca="false">Détails!I13</f>
        <v>0</v>
      </c>
      <c r="G13" s="3" t="n">
        <f aca="false">SUMIFS(Périodes!$K:$K,Périodes!$A:$A,A13,Périodes!$C:$C,2026,Périodes!$D:$D,1,Périodes!$E:$E,"FINALIZED")</f>
        <v>0</v>
      </c>
      <c r="H13" s="3" t="n">
        <f aca="false">SUMIFS(Périodes!$K:$K,Périodes!$A:$A,A13,Périodes!$C:$C,2026,Périodes!$D:$D,2,Périodes!$E:$E,"FINALIZED")</f>
        <v>0</v>
      </c>
      <c r="I13" s="3" t="n">
        <f aca="false">SUMIFS(Périodes!$K:$K,Périodes!$A:$A,A13,Périodes!$C:$C,2026,Périodes!$D:$D,3,Périodes!$E:$E,"FINALIZED")</f>
        <v>0</v>
      </c>
      <c r="J13" s="3" t="n">
        <f aca="false">SUMIFS(Périodes!$K:$K,Périodes!$A:$A,A13,Périodes!$C:$C,2026,Périodes!$D:$D,4,Périodes!$E:$E,"FINALIZED")</f>
        <v>0</v>
      </c>
      <c r="K13" s="3" t="n">
        <f aca="false">SUMIFS(Périodes!$K:$K,Périodes!$A:$A,A13,Périodes!$C:$C,2026,Périodes!$D:$D,5,Périodes!$E:$E,"FINALIZED")</f>
        <v>0</v>
      </c>
      <c r="L13" s="3" t="n">
        <f aca="false">SUMIFS(Périodes!$K:$K,Périodes!$A:$A,A13,Périodes!$C:$C,2026,Périodes!$D:$D,6,Périodes!$E:$E,"FINALIZED")</f>
        <v>0</v>
      </c>
      <c r="M13" s="3" t="n">
        <f aca="false">SUMIFS(Périodes!$K:$K,Périodes!$A:$A,A13,Périodes!$C:$C,2026,Périodes!$D:$D,7,Périodes!$E:$E,"FINALIZED")</f>
        <v>0</v>
      </c>
      <c r="N13" s="3" t="n">
        <f aca="false">SUMIFS(Périodes!$K:$K,Périodes!$A:$A,A13,Périodes!$C:$C,2026,Périodes!$D:$D,8,Périodes!$E:$E,"FINALIZED")</f>
        <v>0</v>
      </c>
      <c r="O13" s="3" t="n">
        <f aca="false">SUMIFS(Périodes!$K:$K,Périodes!$A:$A,A13,Périodes!$C:$C,2026,Périodes!$D:$D,9,Périodes!$E:$E,"FINALIZED")</f>
        <v>0</v>
      </c>
      <c r="P13" s="3" t="n">
        <f aca="false">SUMIFS(Périodes!$K:$K,Périodes!$A:$A,A13,Périodes!$C:$C,2026,Périodes!$D:$D,10,Périodes!$E:$E,"FINALIZED")</f>
        <v>0</v>
      </c>
      <c r="Q13" s="3" t="n">
        <f aca="false">SUMIFS(Périodes!$K:$K,Périodes!$A:$A,A13,Périodes!$C:$C,2026,Périodes!$D:$D,11,Périodes!$E:$E,"FINALIZED")</f>
        <v>0</v>
      </c>
      <c r="R13" s="3" t="n">
        <f aca="false">SUMIFS(Périodes!$K:$K,Périodes!$A:$A,A13,Périodes!$C:$C,2026,Périodes!$D:$D,12,Périodes!$E:$E,"FINALIZED")</f>
        <v>0</v>
      </c>
      <c r="S13" s="1" t="str">
        <f aca="false">Détails!N13</f>
        <v/>
      </c>
      <c r="T13" s="1" t="str">
        <f aca="false">Détails!Q13</f>
        <v/>
      </c>
      <c r="U13" s="4" t="n">
        <f aca="false">Détails!P13</f>
        <v>0</v>
      </c>
      <c r="V13" s="1" t="n">
        <f aca="false">Détails!R13</f>
        <v>0</v>
      </c>
      <c r="W13" s="1" t="n">
        <f aca="false">Détails!T13</f>
        <v>0</v>
      </c>
      <c r="X13" s="1" t="n">
        <f aca="false">Détails!U13</f>
        <v>0</v>
      </c>
      <c r="Y13" s="1" t="str">
        <f aca="false">Détails!V13</f>
        <v/>
      </c>
      <c r="Z13" s="1" t="str">
        <f aca="false">Détails!X13</f>
        <v/>
      </c>
      <c r="AA13" s="1" t="str">
        <f aca="false">Détails!Y13</f>
        <v/>
      </c>
      <c r="AB13" s="1" t="str">
        <f aca="false">Détails!Z13</f>
        <v/>
      </c>
      <c r="AC13" s="1" t="str">
        <f aca="false">Détails!AA13</f>
        <v/>
      </c>
      <c r="AD13" s="1" t="str">
        <f aca="false">Détails!AC13</f>
        <v/>
      </c>
      <c r="AE13" s="1" t="str">
        <f aca="false">Détails!AE13</f>
        <v/>
      </c>
      <c r="AF13" s="1" t="str">
        <f aca="false">Détails!AG13</f>
        <v/>
      </c>
      <c r="AG13" s="1" t="str">
        <f aca="false">Détails!AH13</f>
        <v/>
      </c>
      <c r="AH13" s="3" t="str">
        <f aca="false">IF(OR(AC13="",AG13=""),"",AC13+AG13)</f>
        <v/>
      </c>
      <c r="AI13" s="1" t="n">
        <f aca="false">Détails!AI13</f>
        <v>0</v>
      </c>
      <c r="AJ13" s="1" t="n">
        <f aca="false">Détails!AJ13</f>
        <v>0</v>
      </c>
    </row>
    <row r="14" customFormat="false" ht="15" hidden="false" customHeight="true" outlineLevel="0" collapsed="false">
      <c r="A14" s="1" t="s">
        <v>80</v>
      </c>
      <c r="B14" s="1" t="s">
        <v>68</v>
      </c>
      <c r="C14" s="1" t="n">
        <f aca="false">Détails!D14</f>
        <v>0</v>
      </c>
      <c r="D14" s="1" t="n">
        <f aca="false">Détails!E14</f>
        <v>0</v>
      </c>
      <c r="E14" s="4" t="n">
        <f aca="false">Détails!G14</f>
        <v>0</v>
      </c>
      <c r="F14" s="5" t="n">
        <f aca="false">Détails!I14</f>
        <v>0</v>
      </c>
      <c r="G14" s="3" t="n">
        <f aca="false">SUMIFS(Périodes!$K:$K,Périodes!$A:$A,A14,Périodes!$C:$C,2026,Périodes!$D:$D,1,Périodes!$E:$E,"FINALIZED")</f>
        <v>0</v>
      </c>
      <c r="H14" s="3" t="n">
        <f aca="false">SUMIFS(Périodes!$K:$K,Périodes!$A:$A,A14,Périodes!$C:$C,2026,Périodes!$D:$D,2,Périodes!$E:$E,"FINALIZED")</f>
        <v>0</v>
      </c>
      <c r="I14" s="3" t="n">
        <f aca="false">SUMIFS(Périodes!$K:$K,Périodes!$A:$A,A14,Périodes!$C:$C,2026,Périodes!$D:$D,3,Périodes!$E:$E,"FINALIZED")</f>
        <v>0</v>
      </c>
      <c r="J14" s="3" t="n">
        <f aca="false">SUMIFS(Périodes!$K:$K,Périodes!$A:$A,A14,Périodes!$C:$C,2026,Périodes!$D:$D,4,Périodes!$E:$E,"FINALIZED")</f>
        <v>0</v>
      </c>
      <c r="K14" s="3" t="n">
        <f aca="false">SUMIFS(Périodes!$K:$K,Périodes!$A:$A,A14,Périodes!$C:$C,2026,Périodes!$D:$D,5,Périodes!$E:$E,"FINALIZED")</f>
        <v>0</v>
      </c>
      <c r="L14" s="3" t="n">
        <f aca="false">SUMIFS(Périodes!$K:$K,Périodes!$A:$A,A14,Périodes!$C:$C,2026,Périodes!$D:$D,6,Périodes!$E:$E,"FINALIZED")</f>
        <v>0</v>
      </c>
      <c r="M14" s="3" t="n">
        <f aca="false">SUMIFS(Périodes!$K:$K,Périodes!$A:$A,A14,Périodes!$C:$C,2026,Périodes!$D:$D,7,Périodes!$E:$E,"FINALIZED")</f>
        <v>0</v>
      </c>
      <c r="N14" s="3" t="n">
        <f aca="false">SUMIFS(Périodes!$K:$K,Périodes!$A:$A,A14,Périodes!$C:$C,2026,Périodes!$D:$D,8,Périodes!$E:$E,"FINALIZED")</f>
        <v>0</v>
      </c>
      <c r="O14" s="3" t="n">
        <f aca="false">SUMIFS(Périodes!$K:$K,Périodes!$A:$A,A14,Périodes!$C:$C,2026,Périodes!$D:$D,9,Périodes!$E:$E,"FINALIZED")</f>
        <v>0</v>
      </c>
      <c r="P14" s="3" t="n">
        <f aca="false">SUMIFS(Périodes!$K:$K,Périodes!$A:$A,A14,Périodes!$C:$C,2026,Périodes!$D:$D,10,Périodes!$E:$E,"FINALIZED")</f>
        <v>0</v>
      </c>
      <c r="Q14" s="3" t="n">
        <f aca="false">SUMIFS(Périodes!$K:$K,Périodes!$A:$A,A14,Périodes!$C:$C,2026,Périodes!$D:$D,11,Périodes!$E:$E,"FINALIZED")</f>
        <v>0</v>
      </c>
      <c r="R14" s="3" t="n">
        <f aca="false">SUMIFS(Périodes!$K:$K,Périodes!$A:$A,A14,Périodes!$C:$C,2026,Périodes!$D:$D,12,Périodes!$E:$E,"FINALIZED")</f>
        <v>0</v>
      </c>
      <c r="S14" s="1" t="str">
        <f aca="false">Détails!N14</f>
        <v/>
      </c>
      <c r="T14" s="1" t="str">
        <f aca="false">Détails!Q14</f>
        <v/>
      </c>
      <c r="U14" s="4" t="n">
        <f aca="false">Détails!P14</f>
        <v>0</v>
      </c>
      <c r="V14" s="1" t="n">
        <f aca="false">Détails!R14</f>
        <v>0</v>
      </c>
      <c r="W14" s="1" t="n">
        <f aca="false">Détails!T14</f>
        <v>0</v>
      </c>
      <c r="X14" s="1" t="n">
        <f aca="false">Détails!U14</f>
        <v>0</v>
      </c>
      <c r="Y14" s="1" t="str">
        <f aca="false">Détails!V14</f>
        <v/>
      </c>
      <c r="Z14" s="1" t="str">
        <f aca="false">Détails!X14</f>
        <v/>
      </c>
      <c r="AA14" s="1" t="str">
        <f aca="false">Détails!Y14</f>
        <v/>
      </c>
      <c r="AB14" s="1" t="str">
        <f aca="false">Détails!Z14</f>
        <v/>
      </c>
      <c r="AC14" s="1" t="str">
        <f aca="false">Détails!AA14</f>
        <v/>
      </c>
      <c r="AD14" s="1" t="str">
        <f aca="false">Détails!AC14</f>
        <v/>
      </c>
      <c r="AE14" s="1" t="str">
        <f aca="false">Détails!AE14</f>
        <v/>
      </c>
      <c r="AF14" s="1" t="str">
        <f aca="false">Détails!AG14</f>
        <v/>
      </c>
      <c r="AG14" s="1" t="str">
        <f aca="false">Détails!AH14</f>
        <v/>
      </c>
      <c r="AH14" s="3" t="str">
        <f aca="false">IF(OR(AC14="",AG14=""),"",AC14+AG14)</f>
        <v/>
      </c>
      <c r="AI14" s="1" t="n">
        <f aca="false">Détails!AI14</f>
        <v>0</v>
      </c>
      <c r="AJ14" s="1" t="n">
        <f aca="false">Détails!AJ14</f>
        <v>0</v>
      </c>
    </row>
    <row r="15" customFormat="false" ht="15" hidden="false" customHeight="true" outlineLevel="0" collapsed="false">
      <c r="A15" s="1" t="s">
        <v>81</v>
      </c>
      <c r="B15" s="1" t="s">
        <v>68</v>
      </c>
      <c r="C15" s="1" t="n">
        <f aca="false">Détails!D15</f>
        <v>0</v>
      </c>
      <c r="D15" s="1" t="n">
        <f aca="false">Détails!E15</f>
        <v>0</v>
      </c>
      <c r="E15" s="4" t="n">
        <f aca="false">Détails!G15</f>
        <v>0</v>
      </c>
      <c r="F15" s="5" t="n">
        <f aca="false">Détails!I15</f>
        <v>0</v>
      </c>
      <c r="G15" s="3" t="n">
        <f aca="false">SUMIFS(Périodes!$K:$K,Périodes!$A:$A,A15,Périodes!$C:$C,2026,Périodes!$D:$D,1,Périodes!$E:$E,"FINALIZED")</f>
        <v>0</v>
      </c>
      <c r="H15" s="3" t="n">
        <f aca="false">SUMIFS(Périodes!$K:$K,Périodes!$A:$A,A15,Périodes!$C:$C,2026,Périodes!$D:$D,2,Périodes!$E:$E,"FINALIZED")</f>
        <v>0</v>
      </c>
      <c r="I15" s="3" t="n">
        <f aca="false">SUMIFS(Périodes!$K:$K,Périodes!$A:$A,A15,Périodes!$C:$C,2026,Périodes!$D:$D,3,Périodes!$E:$E,"FINALIZED")</f>
        <v>0</v>
      </c>
      <c r="J15" s="3" t="n">
        <f aca="false">SUMIFS(Périodes!$K:$K,Périodes!$A:$A,A15,Périodes!$C:$C,2026,Périodes!$D:$D,4,Périodes!$E:$E,"FINALIZED")</f>
        <v>0</v>
      </c>
      <c r="K15" s="3" t="n">
        <f aca="false">SUMIFS(Périodes!$K:$K,Périodes!$A:$A,A15,Périodes!$C:$C,2026,Périodes!$D:$D,5,Périodes!$E:$E,"FINALIZED")</f>
        <v>0</v>
      </c>
      <c r="L15" s="3" t="n">
        <f aca="false">SUMIFS(Périodes!$K:$K,Périodes!$A:$A,A15,Périodes!$C:$C,2026,Périodes!$D:$D,6,Périodes!$E:$E,"FINALIZED")</f>
        <v>0</v>
      </c>
      <c r="M15" s="3" t="n">
        <f aca="false">SUMIFS(Périodes!$K:$K,Périodes!$A:$A,A15,Périodes!$C:$C,2026,Périodes!$D:$D,7,Périodes!$E:$E,"FINALIZED")</f>
        <v>0</v>
      </c>
      <c r="N15" s="3" t="n">
        <f aca="false">SUMIFS(Périodes!$K:$K,Périodes!$A:$A,A15,Périodes!$C:$C,2026,Périodes!$D:$D,8,Périodes!$E:$E,"FINALIZED")</f>
        <v>0</v>
      </c>
      <c r="O15" s="3" t="n">
        <f aca="false">SUMIFS(Périodes!$K:$K,Périodes!$A:$A,A15,Périodes!$C:$C,2026,Périodes!$D:$D,9,Périodes!$E:$E,"FINALIZED")</f>
        <v>0</v>
      </c>
      <c r="P15" s="3" t="n">
        <f aca="false">SUMIFS(Périodes!$K:$K,Périodes!$A:$A,A15,Périodes!$C:$C,2026,Périodes!$D:$D,10,Périodes!$E:$E,"FINALIZED")</f>
        <v>0</v>
      </c>
      <c r="Q15" s="3" t="n">
        <f aca="false">SUMIFS(Périodes!$K:$K,Périodes!$A:$A,A15,Périodes!$C:$C,2026,Périodes!$D:$D,11,Périodes!$E:$E,"FINALIZED")</f>
        <v>0</v>
      </c>
      <c r="R15" s="3" t="n">
        <f aca="false">SUMIFS(Périodes!$K:$K,Périodes!$A:$A,A15,Périodes!$C:$C,2026,Périodes!$D:$D,12,Périodes!$E:$E,"FINALIZED")</f>
        <v>0</v>
      </c>
      <c r="S15" s="1" t="str">
        <f aca="false">Détails!N15</f>
        <v/>
      </c>
      <c r="T15" s="1" t="str">
        <f aca="false">Détails!Q15</f>
        <v/>
      </c>
      <c r="U15" s="4" t="n">
        <f aca="false">Détails!P15</f>
        <v>0</v>
      </c>
      <c r="V15" s="1" t="n">
        <f aca="false">Détails!R15</f>
        <v>0</v>
      </c>
      <c r="W15" s="1" t="n">
        <f aca="false">Détails!T15</f>
        <v>0</v>
      </c>
      <c r="X15" s="1" t="n">
        <f aca="false">Détails!U15</f>
        <v>0</v>
      </c>
      <c r="Y15" s="1" t="str">
        <f aca="false">Détails!V15</f>
        <v/>
      </c>
      <c r="Z15" s="1" t="str">
        <f aca="false">Détails!X15</f>
        <v/>
      </c>
      <c r="AA15" s="1" t="str">
        <f aca="false">Détails!Y15</f>
        <v/>
      </c>
      <c r="AB15" s="1" t="str">
        <f aca="false">Détails!Z15</f>
        <v/>
      </c>
      <c r="AC15" s="1" t="str">
        <f aca="false">Détails!AA15</f>
        <v/>
      </c>
      <c r="AD15" s="1" t="str">
        <f aca="false">Détails!AC15</f>
        <v/>
      </c>
      <c r="AE15" s="1" t="str">
        <f aca="false">Détails!AE15</f>
        <v/>
      </c>
      <c r="AF15" s="1" t="str">
        <f aca="false">Détails!AG15</f>
        <v/>
      </c>
      <c r="AG15" s="1" t="str">
        <f aca="false">Détails!AH15</f>
        <v/>
      </c>
      <c r="AH15" s="3" t="str">
        <f aca="false">IF(OR(AC15="",AG15=""),"",AC15+AG15)</f>
        <v/>
      </c>
      <c r="AI15" s="1" t="n">
        <f aca="false">Détails!AI15</f>
        <v>0</v>
      </c>
      <c r="AJ15" s="1" t="n">
        <f aca="false">Détails!AJ15</f>
        <v>0</v>
      </c>
    </row>
    <row r="16" customFormat="false" ht="15" hidden="false" customHeight="true" outlineLevel="0" collapsed="false">
      <c r="A16" s="1" t="s">
        <v>82</v>
      </c>
      <c r="B16" s="1" t="s">
        <v>68</v>
      </c>
      <c r="C16" s="1" t="n">
        <f aca="false">Détails!D16</f>
        <v>0</v>
      </c>
      <c r="D16" s="1" t="n">
        <f aca="false">Détails!E16</f>
        <v>0</v>
      </c>
      <c r="E16" s="4" t="n">
        <f aca="false">Détails!G16</f>
        <v>0</v>
      </c>
      <c r="F16" s="5" t="n">
        <f aca="false">Détails!I16</f>
        <v>0</v>
      </c>
      <c r="G16" s="3" t="n">
        <f aca="false">SUMIFS(Périodes!$K:$K,Périodes!$A:$A,A16,Périodes!$C:$C,2026,Périodes!$D:$D,1,Périodes!$E:$E,"FINALIZED")</f>
        <v>0</v>
      </c>
      <c r="H16" s="3" t="n">
        <f aca="false">SUMIFS(Périodes!$K:$K,Périodes!$A:$A,A16,Périodes!$C:$C,2026,Périodes!$D:$D,2,Périodes!$E:$E,"FINALIZED")</f>
        <v>0</v>
      </c>
      <c r="I16" s="3" t="n">
        <f aca="false">SUMIFS(Périodes!$K:$K,Périodes!$A:$A,A16,Périodes!$C:$C,2026,Périodes!$D:$D,3,Périodes!$E:$E,"FINALIZED")</f>
        <v>0</v>
      </c>
      <c r="J16" s="3" t="n">
        <f aca="false">SUMIFS(Périodes!$K:$K,Périodes!$A:$A,A16,Périodes!$C:$C,2026,Périodes!$D:$D,4,Périodes!$E:$E,"FINALIZED")</f>
        <v>0</v>
      </c>
      <c r="K16" s="3" t="n">
        <f aca="false">SUMIFS(Périodes!$K:$K,Périodes!$A:$A,A16,Périodes!$C:$C,2026,Périodes!$D:$D,5,Périodes!$E:$E,"FINALIZED")</f>
        <v>0</v>
      </c>
      <c r="L16" s="3" t="n">
        <f aca="false">SUMIFS(Périodes!$K:$K,Périodes!$A:$A,A16,Périodes!$C:$C,2026,Périodes!$D:$D,6,Périodes!$E:$E,"FINALIZED")</f>
        <v>0</v>
      </c>
      <c r="M16" s="3" t="n">
        <f aca="false">SUMIFS(Périodes!$K:$K,Périodes!$A:$A,A16,Périodes!$C:$C,2026,Périodes!$D:$D,7,Périodes!$E:$E,"FINALIZED")</f>
        <v>0</v>
      </c>
      <c r="N16" s="3" t="n">
        <f aca="false">SUMIFS(Périodes!$K:$K,Périodes!$A:$A,A16,Périodes!$C:$C,2026,Périodes!$D:$D,8,Périodes!$E:$E,"FINALIZED")</f>
        <v>0</v>
      </c>
      <c r="O16" s="3" t="n">
        <f aca="false">SUMIFS(Périodes!$K:$K,Périodes!$A:$A,A16,Périodes!$C:$C,2026,Périodes!$D:$D,9,Périodes!$E:$E,"FINALIZED")</f>
        <v>0</v>
      </c>
      <c r="P16" s="3" t="n">
        <f aca="false">SUMIFS(Périodes!$K:$K,Périodes!$A:$A,A16,Périodes!$C:$C,2026,Périodes!$D:$D,10,Périodes!$E:$E,"FINALIZED")</f>
        <v>0</v>
      </c>
      <c r="Q16" s="3" t="n">
        <f aca="false">SUMIFS(Périodes!$K:$K,Périodes!$A:$A,A16,Périodes!$C:$C,2026,Périodes!$D:$D,11,Périodes!$E:$E,"FINALIZED")</f>
        <v>0</v>
      </c>
      <c r="R16" s="3" t="n">
        <f aca="false">SUMIFS(Périodes!$K:$K,Périodes!$A:$A,A16,Périodes!$C:$C,2026,Périodes!$D:$D,12,Périodes!$E:$E,"FINALIZED")</f>
        <v>0</v>
      </c>
      <c r="S16" s="1" t="str">
        <f aca="false">Détails!N16</f>
        <v/>
      </c>
      <c r="T16" s="1" t="str">
        <f aca="false">Détails!Q16</f>
        <v/>
      </c>
      <c r="U16" s="4" t="n">
        <f aca="false">Détails!P16</f>
        <v>0</v>
      </c>
      <c r="V16" s="1" t="n">
        <f aca="false">Détails!R16</f>
        <v>0</v>
      </c>
      <c r="W16" s="1" t="n">
        <f aca="false">Détails!T16</f>
        <v>0</v>
      </c>
      <c r="X16" s="1" t="n">
        <f aca="false">Détails!U16</f>
        <v>0</v>
      </c>
      <c r="Y16" s="1" t="str">
        <f aca="false">Détails!V16</f>
        <v/>
      </c>
      <c r="Z16" s="1" t="str">
        <f aca="false">Détails!X16</f>
        <v/>
      </c>
      <c r="AA16" s="1" t="str">
        <f aca="false">Détails!Y16</f>
        <v/>
      </c>
      <c r="AB16" s="1" t="str">
        <f aca="false">Détails!Z16</f>
        <v/>
      </c>
      <c r="AC16" s="1" t="str">
        <f aca="false">Détails!AA16</f>
        <v/>
      </c>
      <c r="AD16" s="1" t="str">
        <f aca="false">Détails!AC16</f>
        <v/>
      </c>
      <c r="AE16" s="1" t="str">
        <f aca="false">Détails!AE16</f>
        <v/>
      </c>
      <c r="AF16" s="1" t="str">
        <f aca="false">Détails!AG16</f>
        <v/>
      </c>
      <c r="AG16" s="1" t="str">
        <f aca="false">Détails!AH16</f>
        <v/>
      </c>
      <c r="AH16" s="3" t="str">
        <f aca="false">IF(OR(AC16="",AG16=""),"",AC16+AG16)</f>
        <v/>
      </c>
      <c r="AI16" s="1" t="n">
        <f aca="false">Détails!AI16</f>
        <v>0</v>
      </c>
      <c r="AJ16" s="1" t="n">
        <f aca="false">Détails!AJ16</f>
        <v>0</v>
      </c>
    </row>
    <row r="17" customFormat="false" ht="15" hidden="false" customHeight="true" outlineLevel="0" collapsed="false">
      <c r="A17" s="1" t="s">
        <v>83</v>
      </c>
      <c r="B17" s="1" t="s">
        <v>68</v>
      </c>
      <c r="C17" s="1" t="n">
        <f aca="false">Détails!D17</f>
        <v>0</v>
      </c>
      <c r="D17" s="1" t="n">
        <f aca="false">Détails!E17</f>
        <v>0</v>
      </c>
      <c r="E17" s="4" t="n">
        <f aca="false">Détails!G17</f>
        <v>0</v>
      </c>
      <c r="F17" s="5" t="n">
        <f aca="false">Détails!I17</f>
        <v>0</v>
      </c>
      <c r="G17" s="3" t="n">
        <f aca="false">SUMIFS(Périodes!$K:$K,Périodes!$A:$A,A17,Périodes!$C:$C,2026,Périodes!$D:$D,1,Périodes!$E:$E,"FINALIZED")</f>
        <v>0</v>
      </c>
      <c r="H17" s="3" t="n">
        <f aca="false">SUMIFS(Périodes!$K:$K,Périodes!$A:$A,A17,Périodes!$C:$C,2026,Périodes!$D:$D,2,Périodes!$E:$E,"FINALIZED")</f>
        <v>0</v>
      </c>
      <c r="I17" s="3" t="n">
        <f aca="false">SUMIFS(Périodes!$K:$K,Périodes!$A:$A,A17,Périodes!$C:$C,2026,Périodes!$D:$D,3,Périodes!$E:$E,"FINALIZED")</f>
        <v>0</v>
      </c>
      <c r="J17" s="3" t="n">
        <f aca="false">SUMIFS(Périodes!$K:$K,Périodes!$A:$A,A17,Périodes!$C:$C,2026,Périodes!$D:$D,4,Périodes!$E:$E,"FINALIZED")</f>
        <v>0</v>
      </c>
      <c r="K17" s="3" t="n">
        <f aca="false">SUMIFS(Périodes!$K:$K,Périodes!$A:$A,A17,Périodes!$C:$C,2026,Périodes!$D:$D,5,Périodes!$E:$E,"FINALIZED")</f>
        <v>0</v>
      </c>
      <c r="L17" s="3" t="n">
        <f aca="false">SUMIFS(Périodes!$K:$K,Périodes!$A:$A,A17,Périodes!$C:$C,2026,Périodes!$D:$D,6,Périodes!$E:$E,"FINALIZED")</f>
        <v>0</v>
      </c>
      <c r="M17" s="3" t="n">
        <f aca="false">SUMIFS(Périodes!$K:$K,Périodes!$A:$A,A17,Périodes!$C:$C,2026,Périodes!$D:$D,7,Périodes!$E:$E,"FINALIZED")</f>
        <v>0</v>
      </c>
      <c r="N17" s="3" t="n">
        <f aca="false">SUMIFS(Périodes!$K:$K,Périodes!$A:$A,A17,Périodes!$C:$C,2026,Périodes!$D:$D,8,Périodes!$E:$E,"FINALIZED")</f>
        <v>0</v>
      </c>
      <c r="O17" s="3" t="n">
        <f aca="false">SUMIFS(Périodes!$K:$K,Périodes!$A:$A,A17,Périodes!$C:$C,2026,Périodes!$D:$D,9,Périodes!$E:$E,"FINALIZED")</f>
        <v>0</v>
      </c>
      <c r="P17" s="3" t="n">
        <f aca="false">SUMIFS(Périodes!$K:$K,Périodes!$A:$A,A17,Périodes!$C:$C,2026,Périodes!$D:$D,10,Périodes!$E:$E,"FINALIZED")</f>
        <v>0</v>
      </c>
      <c r="Q17" s="3" t="n">
        <f aca="false">SUMIFS(Périodes!$K:$K,Périodes!$A:$A,A17,Périodes!$C:$C,2026,Périodes!$D:$D,11,Périodes!$E:$E,"FINALIZED")</f>
        <v>0</v>
      </c>
      <c r="R17" s="3" t="n">
        <f aca="false">SUMIFS(Périodes!$K:$K,Périodes!$A:$A,A17,Périodes!$C:$C,2026,Périodes!$D:$D,12,Périodes!$E:$E,"FINALIZED")</f>
        <v>0</v>
      </c>
      <c r="S17" s="1" t="str">
        <f aca="false">Détails!N17</f>
        <v/>
      </c>
      <c r="T17" s="1" t="str">
        <f aca="false">Détails!Q17</f>
        <v/>
      </c>
      <c r="U17" s="4" t="n">
        <f aca="false">Détails!P17</f>
        <v>0</v>
      </c>
      <c r="V17" s="1" t="n">
        <f aca="false">Détails!R17</f>
        <v>0</v>
      </c>
      <c r="W17" s="1" t="n">
        <f aca="false">Détails!T17</f>
        <v>0</v>
      </c>
      <c r="X17" s="1" t="n">
        <f aca="false">Détails!U17</f>
        <v>0</v>
      </c>
      <c r="Y17" s="1" t="str">
        <f aca="false">Détails!V17</f>
        <v/>
      </c>
      <c r="Z17" s="1" t="str">
        <f aca="false">Détails!X17</f>
        <v/>
      </c>
      <c r="AA17" s="1" t="str">
        <f aca="false">Détails!Y17</f>
        <v/>
      </c>
      <c r="AB17" s="1" t="str">
        <f aca="false">Détails!Z17</f>
        <v/>
      </c>
      <c r="AC17" s="1" t="str">
        <f aca="false">Détails!AA17</f>
        <v/>
      </c>
      <c r="AD17" s="1" t="str">
        <f aca="false">Détails!AC17</f>
        <v/>
      </c>
      <c r="AE17" s="1" t="str">
        <f aca="false">Détails!AE17</f>
        <v/>
      </c>
      <c r="AF17" s="1" t="str">
        <f aca="false">Détails!AG17</f>
        <v/>
      </c>
      <c r="AG17" s="1" t="str">
        <f aca="false">Détails!AH17</f>
        <v/>
      </c>
      <c r="AH17" s="3" t="str">
        <f aca="false">IF(OR(AC17="",AG17=""),"",AC17+AG17)</f>
        <v/>
      </c>
      <c r="AI17" s="1" t="n">
        <f aca="false">Détails!AI17</f>
        <v>0</v>
      </c>
      <c r="AJ17" s="1" t="n">
        <f aca="false">Détails!AJ17</f>
        <v>0</v>
      </c>
    </row>
    <row r="18" customFormat="false" ht="15" hidden="false" customHeight="true" outlineLevel="0" collapsed="false">
      <c r="A18" s="1" t="s">
        <v>84</v>
      </c>
      <c r="B18" s="1" t="s">
        <v>68</v>
      </c>
      <c r="C18" s="1" t="n">
        <f aca="false">Détails!D18</f>
        <v>0</v>
      </c>
      <c r="D18" s="1" t="n">
        <f aca="false">Détails!E18</f>
        <v>0</v>
      </c>
      <c r="E18" s="4" t="n">
        <f aca="false">Détails!G18</f>
        <v>0</v>
      </c>
      <c r="F18" s="5" t="n">
        <f aca="false">Détails!I18</f>
        <v>0</v>
      </c>
      <c r="G18" s="3" t="n">
        <f aca="false">SUMIFS(Périodes!$K:$K,Périodes!$A:$A,A18,Périodes!$C:$C,2026,Périodes!$D:$D,1,Périodes!$E:$E,"FINALIZED")</f>
        <v>0</v>
      </c>
      <c r="H18" s="3" t="n">
        <f aca="false">SUMIFS(Périodes!$K:$K,Périodes!$A:$A,A18,Périodes!$C:$C,2026,Périodes!$D:$D,2,Périodes!$E:$E,"FINALIZED")</f>
        <v>0</v>
      </c>
      <c r="I18" s="3" t="n">
        <f aca="false">SUMIFS(Périodes!$K:$K,Périodes!$A:$A,A18,Périodes!$C:$C,2026,Périodes!$D:$D,3,Périodes!$E:$E,"FINALIZED")</f>
        <v>0</v>
      </c>
      <c r="J18" s="3" t="n">
        <f aca="false">SUMIFS(Périodes!$K:$K,Périodes!$A:$A,A18,Périodes!$C:$C,2026,Périodes!$D:$D,4,Périodes!$E:$E,"FINALIZED")</f>
        <v>0</v>
      </c>
      <c r="K18" s="3" t="n">
        <f aca="false">SUMIFS(Périodes!$K:$K,Périodes!$A:$A,A18,Périodes!$C:$C,2026,Périodes!$D:$D,5,Périodes!$E:$E,"FINALIZED")</f>
        <v>0</v>
      </c>
      <c r="L18" s="3" t="n">
        <f aca="false">SUMIFS(Périodes!$K:$K,Périodes!$A:$A,A18,Périodes!$C:$C,2026,Périodes!$D:$D,6,Périodes!$E:$E,"FINALIZED")</f>
        <v>0</v>
      </c>
      <c r="M18" s="3" t="n">
        <f aca="false">SUMIFS(Périodes!$K:$K,Périodes!$A:$A,A18,Périodes!$C:$C,2026,Périodes!$D:$D,7,Périodes!$E:$E,"FINALIZED")</f>
        <v>0</v>
      </c>
      <c r="N18" s="3" t="n">
        <f aca="false">SUMIFS(Périodes!$K:$K,Périodes!$A:$A,A18,Périodes!$C:$C,2026,Périodes!$D:$D,8,Périodes!$E:$E,"FINALIZED")</f>
        <v>0</v>
      </c>
      <c r="O18" s="3" t="n">
        <f aca="false">SUMIFS(Périodes!$K:$K,Périodes!$A:$A,A18,Périodes!$C:$C,2026,Périodes!$D:$D,9,Périodes!$E:$E,"FINALIZED")</f>
        <v>0</v>
      </c>
      <c r="P18" s="3" t="n">
        <f aca="false">SUMIFS(Périodes!$K:$K,Périodes!$A:$A,A18,Périodes!$C:$C,2026,Périodes!$D:$D,10,Périodes!$E:$E,"FINALIZED")</f>
        <v>0</v>
      </c>
      <c r="Q18" s="3" t="n">
        <f aca="false">SUMIFS(Périodes!$K:$K,Périodes!$A:$A,A18,Périodes!$C:$C,2026,Périodes!$D:$D,11,Périodes!$E:$E,"FINALIZED")</f>
        <v>0</v>
      </c>
      <c r="R18" s="3" t="n">
        <f aca="false">SUMIFS(Périodes!$K:$K,Périodes!$A:$A,A18,Périodes!$C:$C,2026,Périodes!$D:$D,12,Périodes!$E:$E,"FINALIZED")</f>
        <v>0</v>
      </c>
      <c r="S18" s="1" t="str">
        <f aca="false">Détails!N18</f>
        <v/>
      </c>
      <c r="T18" s="1" t="str">
        <f aca="false">Détails!Q18</f>
        <v/>
      </c>
      <c r="U18" s="4" t="n">
        <f aca="false">Détails!P18</f>
        <v>0</v>
      </c>
      <c r="V18" s="1" t="n">
        <f aca="false">Détails!R18</f>
        <v>0</v>
      </c>
      <c r="W18" s="1" t="n">
        <f aca="false">Détails!T18</f>
        <v>0</v>
      </c>
      <c r="X18" s="1" t="n">
        <f aca="false">Détails!U18</f>
        <v>0</v>
      </c>
      <c r="Y18" s="1" t="str">
        <f aca="false">Détails!V18</f>
        <v/>
      </c>
      <c r="Z18" s="1" t="str">
        <f aca="false">Détails!X18</f>
        <v/>
      </c>
      <c r="AA18" s="1" t="str">
        <f aca="false">Détails!Y18</f>
        <v/>
      </c>
      <c r="AB18" s="1" t="str">
        <f aca="false">Détails!Z18</f>
        <v/>
      </c>
      <c r="AC18" s="1" t="str">
        <f aca="false">Détails!AA18</f>
        <v/>
      </c>
      <c r="AD18" s="1" t="str">
        <f aca="false">Détails!AC18</f>
        <v/>
      </c>
      <c r="AE18" s="1" t="str">
        <f aca="false">Détails!AE18</f>
        <v/>
      </c>
      <c r="AF18" s="1" t="str">
        <f aca="false">Détails!AG18</f>
        <v/>
      </c>
      <c r="AG18" s="1" t="str">
        <f aca="false">Détails!AH18</f>
        <v/>
      </c>
      <c r="AH18" s="3" t="str">
        <f aca="false">IF(OR(AC18="",AG18=""),"",AC18+AG18)</f>
        <v/>
      </c>
      <c r="AI18" s="1" t="n">
        <f aca="false">Détails!AI18</f>
        <v>0</v>
      </c>
      <c r="AJ18" s="1" t="n">
        <f aca="false">Détails!AJ18</f>
        <v>0</v>
      </c>
    </row>
    <row r="19" customFormat="false" ht="15" hidden="false" customHeight="true" outlineLevel="0" collapsed="false">
      <c r="A19" s="1" t="s">
        <v>85</v>
      </c>
      <c r="B19" s="1" t="s">
        <v>68</v>
      </c>
      <c r="C19" s="1" t="n">
        <f aca="false">Détails!D19</f>
        <v>0</v>
      </c>
      <c r="D19" s="1" t="n">
        <f aca="false">Détails!E19</f>
        <v>0</v>
      </c>
      <c r="E19" s="4" t="n">
        <f aca="false">Détails!G19</f>
        <v>0</v>
      </c>
      <c r="F19" s="5" t="n">
        <f aca="false">Détails!I19</f>
        <v>0</v>
      </c>
      <c r="G19" s="3" t="n">
        <f aca="false">SUMIFS(Périodes!$K:$K,Périodes!$A:$A,A19,Périodes!$C:$C,2026,Périodes!$D:$D,1,Périodes!$E:$E,"FINALIZED")</f>
        <v>0</v>
      </c>
      <c r="H19" s="3" t="n">
        <f aca="false">SUMIFS(Périodes!$K:$K,Périodes!$A:$A,A19,Périodes!$C:$C,2026,Périodes!$D:$D,2,Périodes!$E:$E,"FINALIZED")</f>
        <v>0</v>
      </c>
      <c r="I19" s="3" t="n">
        <f aca="false">SUMIFS(Périodes!$K:$K,Périodes!$A:$A,A19,Périodes!$C:$C,2026,Périodes!$D:$D,3,Périodes!$E:$E,"FINALIZED")</f>
        <v>0</v>
      </c>
      <c r="J19" s="3" t="n">
        <f aca="false">SUMIFS(Périodes!$K:$K,Périodes!$A:$A,A19,Périodes!$C:$C,2026,Périodes!$D:$D,4,Périodes!$E:$E,"FINALIZED")</f>
        <v>0</v>
      </c>
      <c r="K19" s="3" t="n">
        <f aca="false">SUMIFS(Périodes!$K:$K,Périodes!$A:$A,A19,Périodes!$C:$C,2026,Périodes!$D:$D,5,Périodes!$E:$E,"FINALIZED")</f>
        <v>0</v>
      </c>
      <c r="L19" s="3" t="n">
        <f aca="false">SUMIFS(Périodes!$K:$K,Périodes!$A:$A,A19,Périodes!$C:$C,2026,Périodes!$D:$D,6,Périodes!$E:$E,"FINALIZED")</f>
        <v>0</v>
      </c>
      <c r="M19" s="3" t="n">
        <f aca="false">SUMIFS(Périodes!$K:$K,Périodes!$A:$A,A19,Périodes!$C:$C,2026,Périodes!$D:$D,7,Périodes!$E:$E,"FINALIZED")</f>
        <v>0</v>
      </c>
      <c r="N19" s="3" t="n">
        <f aca="false">SUMIFS(Périodes!$K:$K,Périodes!$A:$A,A19,Périodes!$C:$C,2026,Périodes!$D:$D,8,Périodes!$E:$E,"FINALIZED")</f>
        <v>0</v>
      </c>
      <c r="O19" s="3" t="n">
        <f aca="false">SUMIFS(Périodes!$K:$K,Périodes!$A:$A,A19,Périodes!$C:$C,2026,Périodes!$D:$D,9,Périodes!$E:$E,"FINALIZED")</f>
        <v>0</v>
      </c>
      <c r="P19" s="3" t="n">
        <f aca="false">SUMIFS(Périodes!$K:$K,Périodes!$A:$A,A19,Périodes!$C:$C,2026,Périodes!$D:$D,10,Périodes!$E:$E,"FINALIZED")</f>
        <v>0</v>
      </c>
      <c r="Q19" s="3" t="n">
        <f aca="false">SUMIFS(Périodes!$K:$K,Périodes!$A:$A,A19,Périodes!$C:$C,2026,Périodes!$D:$D,11,Périodes!$E:$E,"FINALIZED")</f>
        <v>0</v>
      </c>
      <c r="R19" s="3" t="n">
        <f aca="false">SUMIFS(Périodes!$K:$K,Périodes!$A:$A,A19,Périodes!$C:$C,2026,Périodes!$D:$D,12,Périodes!$E:$E,"FINALIZED")</f>
        <v>0</v>
      </c>
      <c r="S19" s="1" t="str">
        <f aca="false">Détails!N19</f>
        <v/>
      </c>
      <c r="T19" s="1" t="str">
        <f aca="false">Détails!Q19</f>
        <v/>
      </c>
      <c r="U19" s="4" t="n">
        <f aca="false">Détails!P19</f>
        <v>0</v>
      </c>
      <c r="V19" s="1" t="n">
        <f aca="false">Détails!R19</f>
        <v>0</v>
      </c>
      <c r="W19" s="1" t="n">
        <f aca="false">Détails!T19</f>
        <v>0</v>
      </c>
      <c r="X19" s="1" t="n">
        <f aca="false">Détails!U19</f>
        <v>0</v>
      </c>
      <c r="Y19" s="1" t="str">
        <f aca="false">Détails!V19</f>
        <v/>
      </c>
      <c r="Z19" s="1" t="str">
        <f aca="false">Détails!X19</f>
        <v/>
      </c>
      <c r="AA19" s="1" t="str">
        <f aca="false">Détails!Y19</f>
        <v/>
      </c>
      <c r="AB19" s="1" t="str">
        <f aca="false">Détails!Z19</f>
        <v/>
      </c>
      <c r="AC19" s="1" t="str">
        <f aca="false">Détails!AA19</f>
        <v/>
      </c>
      <c r="AD19" s="1" t="str">
        <f aca="false">Détails!AC19</f>
        <v/>
      </c>
      <c r="AE19" s="1" t="str">
        <f aca="false">Détails!AE19</f>
        <v/>
      </c>
      <c r="AF19" s="1" t="str">
        <f aca="false">Détails!AG19</f>
        <v/>
      </c>
      <c r="AG19" s="1" t="str">
        <f aca="false">Détails!AH19</f>
        <v/>
      </c>
      <c r="AH19" s="3" t="str">
        <f aca="false">IF(OR(AC19="",AG19=""),"",AC19+AG19)</f>
        <v/>
      </c>
      <c r="AI19" s="1" t="str">
        <f aca="false">Détails!AI19</f>
        <v>NOT_APPLICABLE</v>
      </c>
      <c r="AJ19" s="1" t="str">
        <f aca="false">Détails!AJ19</f>
        <v>Exclure : embauche postérieure à la référence</v>
      </c>
    </row>
    <row r="20" customFormat="false" ht="15" hidden="false" customHeight="true" outlineLevel="0" collapsed="false">
      <c r="A20" s="1" t="s">
        <v>86</v>
      </c>
      <c r="B20" s="1" t="s">
        <v>87</v>
      </c>
      <c r="C20" s="1" t="n">
        <f aca="false">Détails!D20</f>
        <v>0</v>
      </c>
      <c r="D20" s="1" t="n">
        <f aca="false">Détails!E20</f>
        <v>0</v>
      </c>
      <c r="E20" s="4" t="n">
        <f aca="false">Détails!G20</f>
        <v>0</v>
      </c>
      <c r="F20" s="5" t="n">
        <f aca="false">Détails!I20</f>
        <v>0</v>
      </c>
      <c r="G20" s="3" t="n">
        <f aca="false">SUMIFS(Périodes!$K:$K,Périodes!$A:$A,A20,Périodes!$C:$C,2026,Périodes!$D:$D,1,Périodes!$E:$E,"FINALIZED")</f>
        <v>0</v>
      </c>
      <c r="H20" s="3" t="n">
        <f aca="false">SUMIFS(Périodes!$K:$K,Périodes!$A:$A,A20,Périodes!$C:$C,2026,Périodes!$D:$D,2,Périodes!$E:$E,"FINALIZED")</f>
        <v>0</v>
      </c>
      <c r="I20" s="3" t="n">
        <f aca="false">SUMIFS(Périodes!$K:$K,Périodes!$A:$A,A20,Périodes!$C:$C,2026,Périodes!$D:$D,3,Périodes!$E:$E,"FINALIZED")</f>
        <v>0</v>
      </c>
      <c r="J20" s="3" t="n">
        <f aca="false">SUMIFS(Périodes!$K:$K,Périodes!$A:$A,A20,Périodes!$C:$C,2026,Périodes!$D:$D,4,Périodes!$E:$E,"FINALIZED")</f>
        <v>0</v>
      </c>
      <c r="K20" s="3" t="n">
        <f aca="false">SUMIFS(Périodes!$K:$K,Périodes!$A:$A,A20,Périodes!$C:$C,2026,Périodes!$D:$D,5,Périodes!$E:$E,"FINALIZED")</f>
        <v>0</v>
      </c>
      <c r="L20" s="3" t="n">
        <f aca="false">SUMIFS(Périodes!$K:$K,Périodes!$A:$A,A20,Périodes!$C:$C,2026,Périodes!$D:$D,6,Périodes!$E:$E,"FINALIZED")</f>
        <v>0</v>
      </c>
      <c r="M20" s="3" t="n">
        <f aca="false">SUMIFS(Périodes!$K:$K,Périodes!$A:$A,A20,Périodes!$C:$C,2026,Périodes!$D:$D,7,Périodes!$E:$E,"FINALIZED")</f>
        <v>0</v>
      </c>
      <c r="N20" s="3" t="n">
        <f aca="false">SUMIFS(Périodes!$K:$K,Périodes!$A:$A,A20,Périodes!$C:$C,2026,Périodes!$D:$D,8,Périodes!$E:$E,"FINALIZED")</f>
        <v>0</v>
      </c>
      <c r="O20" s="3" t="n">
        <f aca="false">SUMIFS(Périodes!$K:$K,Périodes!$A:$A,A20,Périodes!$C:$C,2026,Périodes!$D:$D,9,Périodes!$E:$E,"FINALIZED")</f>
        <v>0</v>
      </c>
      <c r="P20" s="3" t="n">
        <f aca="false">SUMIFS(Périodes!$K:$K,Périodes!$A:$A,A20,Périodes!$C:$C,2026,Périodes!$D:$D,10,Périodes!$E:$E,"FINALIZED")</f>
        <v>0</v>
      </c>
      <c r="Q20" s="3" t="n">
        <f aca="false">SUMIFS(Périodes!$K:$K,Périodes!$A:$A,A20,Périodes!$C:$C,2026,Périodes!$D:$D,11,Périodes!$E:$E,"FINALIZED")</f>
        <v>0</v>
      </c>
      <c r="R20" s="3" t="n">
        <f aca="false">SUMIFS(Périodes!$K:$K,Périodes!$A:$A,A20,Périodes!$C:$C,2026,Périodes!$D:$D,12,Périodes!$E:$E,"FINALIZED")</f>
        <v>0</v>
      </c>
      <c r="S20" s="1" t="str">
        <f aca="false">Détails!N20</f>
        <v/>
      </c>
      <c r="T20" s="1" t="str">
        <f aca="false">Détails!Q20</f>
        <v/>
      </c>
      <c r="U20" s="4" t="n">
        <f aca="false">Détails!P20</f>
        <v>0</v>
      </c>
      <c r="V20" s="1" t="n">
        <f aca="false">Détails!R20</f>
        <v>0</v>
      </c>
      <c r="W20" s="1" t="n">
        <f aca="false">Détails!T20</f>
        <v>0</v>
      </c>
      <c r="X20" s="1" t="n">
        <f aca="false">Détails!U20</f>
        <v>0</v>
      </c>
      <c r="Y20" s="1" t="str">
        <f aca="false">Détails!V20</f>
        <v/>
      </c>
      <c r="Z20" s="1" t="str">
        <f aca="false">Détails!X20</f>
        <v/>
      </c>
      <c r="AA20" s="1" t="str">
        <f aca="false">Détails!Y20</f>
        <v/>
      </c>
      <c r="AB20" s="1" t="str">
        <f aca="false">Détails!Z20</f>
        <v/>
      </c>
      <c r="AC20" s="1" t="str">
        <f aca="false">Détails!AA20</f>
        <v/>
      </c>
      <c r="AD20" s="1" t="str">
        <f aca="false">Détails!AC20</f>
        <v/>
      </c>
      <c r="AE20" s="1" t="str">
        <f aca="false">Détails!AE20</f>
        <v/>
      </c>
      <c r="AF20" s="1" t="str">
        <f aca="false">Détails!AG20</f>
        <v/>
      </c>
      <c r="AG20" s="1" t="str">
        <f aca="false">Détails!AH20</f>
        <v/>
      </c>
      <c r="AH20" s="3" t="str">
        <f aca="false">IF(OR(AC20="",AG20=""),"",AC20+AG20)</f>
        <v/>
      </c>
      <c r="AI20" s="1" t="n">
        <f aca="false">Détails!AI20</f>
        <v>0</v>
      </c>
      <c r="AJ20" s="1" t="n">
        <f aca="false">Détails!AJ20</f>
        <v>0</v>
      </c>
    </row>
    <row r="21" customFormat="false" ht="15" hidden="false" customHeight="true" outlineLevel="0" collapsed="false">
      <c r="A21" s="1" t="s">
        <v>88</v>
      </c>
      <c r="B21" s="1" t="s">
        <v>87</v>
      </c>
      <c r="C21" s="1" t="n">
        <f aca="false">Détails!D21</f>
        <v>0</v>
      </c>
      <c r="D21" s="1" t="n">
        <f aca="false">Détails!E21</f>
        <v>0</v>
      </c>
      <c r="E21" s="4" t="n">
        <f aca="false">Détails!G21</f>
        <v>0</v>
      </c>
      <c r="F21" s="5" t="n">
        <f aca="false">Détails!I21</f>
        <v>0</v>
      </c>
      <c r="G21" s="3" t="n">
        <f aca="false">SUMIFS(Périodes!$K:$K,Périodes!$A:$A,A21,Périodes!$C:$C,2026,Périodes!$D:$D,1,Périodes!$E:$E,"FINALIZED")</f>
        <v>0</v>
      </c>
      <c r="H21" s="3" t="n">
        <f aca="false">SUMIFS(Périodes!$K:$K,Périodes!$A:$A,A21,Périodes!$C:$C,2026,Périodes!$D:$D,2,Périodes!$E:$E,"FINALIZED")</f>
        <v>0</v>
      </c>
      <c r="I21" s="3" t="n">
        <f aca="false">SUMIFS(Périodes!$K:$K,Périodes!$A:$A,A21,Périodes!$C:$C,2026,Périodes!$D:$D,3,Périodes!$E:$E,"FINALIZED")</f>
        <v>0</v>
      </c>
      <c r="J21" s="3" t="n">
        <f aca="false">SUMIFS(Périodes!$K:$K,Périodes!$A:$A,A21,Périodes!$C:$C,2026,Périodes!$D:$D,4,Périodes!$E:$E,"FINALIZED")</f>
        <v>0</v>
      </c>
      <c r="K21" s="3" t="n">
        <f aca="false">SUMIFS(Périodes!$K:$K,Périodes!$A:$A,A21,Périodes!$C:$C,2026,Périodes!$D:$D,5,Périodes!$E:$E,"FINALIZED")</f>
        <v>0</v>
      </c>
      <c r="L21" s="3" t="n">
        <f aca="false">SUMIFS(Périodes!$K:$K,Périodes!$A:$A,A21,Périodes!$C:$C,2026,Périodes!$D:$D,6,Périodes!$E:$E,"FINALIZED")</f>
        <v>0</v>
      </c>
      <c r="M21" s="3" t="n">
        <f aca="false">SUMIFS(Périodes!$K:$K,Périodes!$A:$A,A21,Périodes!$C:$C,2026,Périodes!$D:$D,7,Périodes!$E:$E,"FINALIZED")</f>
        <v>0</v>
      </c>
      <c r="N21" s="3" t="n">
        <f aca="false">SUMIFS(Périodes!$K:$K,Périodes!$A:$A,A21,Périodes!$C:$C,2026,Périodes!$D:$D,8,Périodes!$E:$E,"FINALIZED")</f>
        <v>0</v>
      </c>
      <c r="O21" s="3" t="n">
        <f aca="false">SUMIFS(Périodes!$K:$K,Périodes!$A:$A,A21,Périodes!$C:$C,2026,Périodes!$D:$D,9,Périodes!$E:$E,"FINALIZED")</f>
        <v>0</v>
      </c>
      <c r="P21" s="3" t="n">
        <f aca="false">SUMIFS(Périodes!$K:$K,Périodes!$A:$A,A21,Périodes!$C:$C,2026,Périodes!$D:$D,10,Périodes!$E:$E,"FINALIZED")</f>
        <v>0</v>
      </c>
      <c r="Q21" s="3" t="n">
        <f aca="false">SUMIFS(Périodes!$K:$K,Périodes!$A:$A,A21,Périodes!$C:$C,2026,Périodes!$D:$D,11,Périodes!$E:$E,"FINALIZED")</f>
        <v>0</v>
      </c>
      <c r="R21" s="3" t="n">
        <f aca="false">SUMIFS(Périodes!$K:$K,Périodes!$A:$A,A21,Périodes!$C:$C,2026,Périodes!$D:$D,12,Périodes!$E:$E,"FINALIZED")</f>
        <v>0</v>
      </c>
      <c r="S21" s="1" t="str">
        <f aca="false">Détails!N21</f>
        <v/>
      </c>
      <c r="T21" s="1" t="str">
        <f aca="false">Détails!Q21</f>
        <v/>
      </c>
      <c r="U21" s="4" t="n">
        <f aca="false">Détails!P21</f>
        <v>0</v>
      </c>
      <c r="V21" s="1" t="n">
        <f aca="false">Détails!R21</f>
        <v>0</v>
      </c>
      <c r="W21" s="1" t="n">
        <f aca="false">Détails!T21</f>
        <v>0</v>
      </c>
      <c r="X21" s="1" t="n">
        <f aca="false">Détails!U21</f>
        <v>0</v>
      </c>
      <c r="Y21" s="1" t="str">
        <f aca="false">Détails!V21</f>
        <v/>
      </c>
      <c r="Z21" s="1" t="str">
        <f aca="false">Détails!X21</f>
        <v/>
      </c>
      <c r="AA21" s="1" t="str">
        <f aca="false">Détails!Y21</f>
        <v/>
      </c>
      <c r="AB21" s="1" t="str">
        <f aca="false">Détails!Z21</f>
        <v/>
      </c>
      <c r="AC21" s="1" t="str">
        <f aca="false">Détails!AA21</f>
        <v/>
      </c>
      <c r="AD21" s="1" t="str">
        <f aca="false">Détails!AC21</f>
        <v/>
      </c>
      <c r="AE21" s="1" t="str">
        <f aca="false">Détails!AE21</f>
        <v/>
      </c>
      <c r="AF21" s="1" t="str">
        <f aca="false">Détails!AG21</f>
        <v/>
      </c>
      <c r="AG21" s="1" t="str">
        <f aca="false">Détails!AH21</f>
        <v/>
      </c>
      <c r="AH21" s="3" t="str">
        <f aca="false">IF(OR(AC21="",AG21=""),"",AC21+AG21)</f>
        <v/>
      </c>
      <c r="AI21" s="1" t="n">
        <f aca="false">Détails!AI21</f>
        <v>0</v>
      </c>
      <c r="AJ21" s="1" t="n">
        <f aca="false">Détails!AJ21</f>
        <v>0</v>
      </c>
    </row>
  </sheetData>
  <autoFilter ref="A1:AJ2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48.83"/>
    <col collapsed="false" customWidth="true" hidden="false" outlineLevel="0" max="2" min="2" style="1" width="20.83"/>
    <col collapsed="false" customWidth="true" hidden="false" outlineLevel="0" max="3" min="3" style="1" width="90.83"/>
  </cols>
  <sheetData>
    <row r="1" customFormat="false" ht="15" hidden="false" customHeight="true" outlineLevel="0" collapsed="false">
      <c r="A1" s="1" t="s">
        <v>163</v>
      </c>
      <c r="B1" s="1" t="s">
        <v>164</v>
      </c>
      <c r="C1" s="1" t="s">
        <v>66</v>
      </c>
    </row>
    <row r="2" customFormat="false" ht="15" hidden="false" customHeight="true" outlineLevel="0" collapsed="false">
      <c r="A2" s="1" t="s">
        <v>165</v>
      </c>
      <c r="B2" s="1" t="s">
        <v>166</v>
      </c>
      <c r="C2" s="1" t="s">
        <v>167</v>
      </c>
    </row>
    <row r="3" customFormat="false" ht="15" hidden="false" customHeight="true" outlineLevel="0" collapsed="false">
      <c r="A3" s="1" t="s">
        <v>168</v>
      </c>
      <c r="B3" s="1" t="s">
        <v>166</v>
      </c>
      <c r="C3" s="1" t="s">
        <v>169</v>
      </c>
    </row>
    <row r="4" customFormat="false" ht="15" hidden="false" customHeight="true" outlineLevel="0" collapsed="false">
      <c r="A4" s="1" t="s">
        <v>170</v>
      </c>
      <c r="B4" s="1" t="s">
        <v>166</v>
      </c>
      <c r="C4" s="1" t="s">
        <v>171</v>
      </c>
    </row>
    <row r="5" customFormat="false" ht="15" hidden="false" customHeight="true" outlineLevel="0" collapsed="false">
      <c r="A5" s="1" t="s">
        <v>172</v>
      </c>
      <c r="B5" s="1" t="s">
        <v>166</v>
      </c>
      <c r="C5" s="1" t="s">
        <v>173</v>
      </c>
    </row>
    <row r="6" customFormat="false" ht="15" hidden="false" customHeight="true" outlineLevel="0" collapsed="false">
      <c r="A6" s="1" t="s">
        <v>174</v>
      </c>
      <c r="B6" s="1" t="s">
        <v>166</v>
      </c>
      <c r="C6" s="1" t="s">
        <v>175</v>
      </c>
    </row>
    <row r="7" customFormat="false" ht="15" hidden="false" customHeight="true" outlineLevel="0" collapsed="false">
      <c r="A7" s="1" t="s">
        <v>176</v>
      </c>
      <c r="B7" s="1" t="s">
        <v>166</v>
      </c>
      <c r="C7" s="1" t="s">
        <v>177</v>
      </c>
    </row>
    <row r="8" customFormat="false" ht="15" hidden="false" customHeight="true" outlineLevel="0" collapsed="false">
      <c r="A8" s="1" t="s">
        <v>178</v>
      </c>
      <c r="B8" s="1" t="s">
        <v>166</v>
      </c>
      <c r="C8" s="1" t="s">
        <v>179</v>
      </c>
    </row>
    <row r="9" customFormat="false" ht="15" hidden="false" customHeight="true" outlineLevel="0" collapsed="false">
      <c r="A9" s="1" t="s">
        <v>180</v>
      </c>
      <c r="B9" s="1" t="s">
        <v>166</v>
      </c>
      <c r="C9" s="1" t="s">
        <v>181</v>
      </c>
    </row>
    <row r="10" customFormat="false" ht="15" hidden="false" customHeight="true" outlineLevel="0" collapsed="false">
      <c r="A10" s="1" t="s">
        <v>182</v>
      </c>
      <c r="B10" s="1" t="s">
        <v>183</v>
      </c>
      <c r="C10" s="1" t="s">
        <v>184</v>
      </c>
    </row>
    <row r="11" customFormat="false" ht="15" hidden="false" customHeight="true" outlineLevel="0" collapsed="false">
      <c r="A11" s="1" t="s">
        <v>185</v>
      </c>
      <c r="B11" s="1" t="s">
        <v>186</v>
      </c>
      <c r="C11" s="1" t="s">
        <v>187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2026-08-04T10:13:58Z</dcterms:created>
  <dc:creator>À compléter par le responsable paie</dc:creator>
  <dc:description>Modèle vierge : aucune valeur issue de l'API V2.</dc:description>
  <dc:language>fr-FR</dc:language>
  <cp:lastModifiedBy/>
  <dcterms:modified xsi:type="dcterms:W3CDTF">2026-08-04T10:15:30Z</dcterms:modified>
  <cp:revision>2</cp:revision>
  <dc:subject>Validation métier indépendante STAGING-PROVISIONS-2026-R1</dc:subject>
  <dc:title>Modèle indépendant de référence — Provisions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