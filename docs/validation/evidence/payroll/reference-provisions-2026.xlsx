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Périodes" sheetId="2" r:id="rId2"/>
    <sheet name="Détails" sheetId="3" r:id="rId3"/>
    <sheet name="Synthèse" sheetId="4" r:id="rId4"/>
    <sheet name="Contrôles" sheetId="5" r:id="rId5"/>
  </sheets>
  <definedNames>
    <definedName name="_xlnm._FilterDatabase" localSheetId="1">'Périodes'!A1:N241</definedName>
    <definedName name="_xlnm._FilterDatabase" localSheetId="2">'Détails'!A1:AK21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3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dimension ref="A1:B32"/>
  <sheetViews>
    <sheetView workbookViewId="0"/>
  </sheetViews>
  <cols>
    <col min="1" max="1" width="34.83203125" customWidth="1"/>
    <col min="2" max="2" width="110.83203125" customWidth="1"/>
  </cols>
  <sheetData>
    <row r="1">
      <c r="A1" t="str">
        <v>MODÈLE INDÉPENDANT — NE PAS REMPLACER PAR UN EXPORT DE L'APPLICATION</v>
      </c>
    </row>
    <row r="2">
      <c r="A2" t="str">
        <v>Jeu de données</v>
      </c>
      <c r="B2" t="str">
        <v>STAGING-PROVISIONS-2026-R1</v>
      </c>
    </row>
    <row r="3">
      <c r="A3" t="str">
        <v>Date de référence</v>
      </c>
      <c r="B3" t="str">
        <v>2026-08-03</v>
      </c>
    </row>
    <row r="4">
      <c r="A4" t="str">
        <v>Version des règles</v>
      </c>
      <c r="B4" t="str">
        <v>CI-CCI-1977-PROVISIONS-2026.2</v>
      </c>
    </row>
    <row r="5">
      <c r="A5" t="str">
        <v>Période observée</v>
      </c>
      <c r="B5" t="str">
        <v>Janvier à août 2026</v>
      </c>
    </row>
    <row r="6">
      <c r="A6" t="str">
        <v>Tolérance de comparaison</v>
      </c>
      <c r="B6" t="str">
        <v>1 FCFA</v>
      </c>
    </row>
    <row r="8">
      <c r="A8" t="str">
        <v>Mode d'emploi</v>
      </c>
    </row>
    <row r="9">
      <c r="A9" t="str">
        <v>1</v>
      </c>
      <c r="B9" t="str">
        <v>Saisir les paies et leurs composantes dans l'onglet Périodes.</v>
      </c>
    </row>
    <row r="10">
      <c r="A10" t="str">
        <v>2</v>
      </c>
      <c r="B10" t="str">
        <v>Indiquer FINALIZED ou DRAFT ; seules les lignes FINALIZED sont éligibles.</v>
      </c>
    </row>
    <row r="11">
      <c r="A11" t="str">
        <v>3</v>
      </c>
      <c r="B11" t="str">
        <v>Saisir les données contractuelles et de congés dans Détails.</v>
      </c>
    </row>
    <row r="12">
      <c r="A12" t="str">
        <v>4</v>
      </c>
      <c r="B12" t="str">
        <v>Vérifier manuellement toutes les formules avant signature.</v>
      </c>
    </row>
    <row r="13">
      <c r="A13" t="str">
        <v>5</v>
      </c>
      <c r="B13" t="str">
        <v>C18 doit être NOT_APPLICABLE ; B01/B02 ne doivent pas entrer dans les totaux du tenant A.</v>
      </c>
    </row>
    <row r="14">
      <c r="A14" t="str">
        <v>6</v>
      </c>
      <c r="B14" t="str">
        <v>Enregistrer le classeur final sous reference-provisions-2026.xlsx.</v>
      </c>
    </row>
    <row r="15">
      <c r="A15" t="str">
        <v>7</v>
      </c>
      <c r="B15" t="str">
        <v>Signer/parapher puis calculer son SHA-256.</v>
      </c>
    </row>
    <row r="17">
      <c r="A17" t="str">
        <v>Convention</v>
      </c>
      <c r="B17" t="str">
        <v>Valeur</v>
      </c>
    </row>
    <row r="18">
      <c r="A18" t="str">
        <v>Acquisition congés</v>
      </c>
      <c r="B18" t="str">
        <v>2,2 jours ouvrables par mois de service effectif</v>
      </c>
    </row>
    <row r="19">
      <c r="A19" t="str">
        <v>Arrondi des droits</v>
      </c>
      <c r="B19" t="str">
        <v>CEILING à l'entier, puis présentation des jours à 2 décimales</v>
      </c>
    </row>
    <row r="20">
      <c r="A20" t="str">
        <v>Diviseur journalier</v>
      </c>
      <c r="B20" t="str">
        <v>26</v>
      </c>
    </row>
    <row r="21">
      <c r="A21" t="str">
        <v>Règle du dixième</v>
      </c>
      <c r="B21" t="str">
        <v>10 % de la rémunération de référence, proratisés par solde final / droits acquis</v>
      </c>
    </row>
    <row r="22">
      <c r="A22" t="str">
        <v>Salaire de référence</v>
      </c>
      <c r="B22" t="str">
        <v>12 dernières paies finalisées ; moyenne des mois disponibles ; fallback contractuel si aucune</v>
      </c>
    </row>
    <row r="23">
      <c r="A23" t="str">
        <v>Licenciement</v>
      </c>
      <c r="B23" t="str">
        <v>Minimum 12 mois ; tranches 0-60 mois à 30 %, 60-120 à 35 %, au-delà à 40 %</v>
      </c>
    </row>
    <row r="24">
      <c r="A24" t="str">
        <v>Arrondi monétaire</v>
      </c>
      <c r="B24" t="str">
        <v>ROUND_HALF_UP au FCFA</v>
      </c>
    </row>
    <row r="26">
      <c r="A26" t="str">
        <v>ATTESTATION DU RESPONSABLE PAIE</v>
      </c>
    </row>
    <row r="27">
      <c r="A27" t="str">
        <v>Nom et prénom</v>
      </c>
      <c r="B27" t="str">
        <v>Kabre Theodore</v>
      </c>
    </row>
    <row r="28">
      <c r="A28" t="str">
        <v>Fonction</v>
      </c>
      <c r="B28" t="str">
        <v>Responsable Paie</v>
      </c>
    </row>
    <row r="29">
      <c r="A29" t="str">
        <v>Date de préparation</v>
      </c>
      <c r="B29" t="str">
        <v>2026-08-04</v>
      </c>
    </row>
    <row r="30">
      <c r="A30" t="str">
        <v>Date d'approbation</v>
      </c>
      <c r="B30" t="str">
        <v>2026-08-04</v>
      </c>
    </row>
    <row r="31">
      <c r="A31" t="str">
        <v>Signature/paraphe</v>
      </c>
      <c r="B31" t="str">
        <v>Kabre Theodore</v>
      </c>
    </row>
    <row r="32">
      <c r="A32" t="str">
        <v>Réserves</v>
      </c>
      <c r="B32" t="str">
        <v>Attestation métier basée sur les données PostgreSQL STAGING-PROVISIONS-2026-R1.</v>
      </c>
    </row>
  </sheetData>
  <ignoredErrors>
    <ignoredError numberStoredAsText="1" sqref="A1:B32"/>
  </ignoredErrors>
</worksheet>
</file>

<file path=xl/worksheets/sheet2.xml><?xml version="1.0" encoding="utf-8"?>
<worksheet xmlns="http://schemas.openxmlformats.org/spreadsheetml/2006/main">
  <dimension ref="A1:N241"/>
  <sheetViews>
    <sheetView workbookViewId="0"/>
  </sheetViews>
  <cols>
    <col min="1" max="1" width="10.83203125" customWidth="1"/>
    <col min="2" max="2" width="9.83203125" customWidth="1"/>
    <col min="3" max="3" width="9.83203125" customWidth="1"/>
    <col min="4" max="4" width="8.83203125" customWidth="1"/>
    <col min="5" max="5" width="14.83203125" customWidth="1"/>
    <col min="6" max="6" width="16.83203125" customWidth="1"/>
    <col min="7" max="7" width="14.83203125" customWidth="1"/>
    <col min="8" max="8" width="18.83203125" customWidth="1"/>
    <col min="9" max="9" width="22.83203125" customWidth="1"/>
    <col min="10" max="10" width="22.83203125" customWidth="1"/>
    <col min="11" max="11" width="27.83203125" customWidth="1"/>
    <col min="12" max="12" width="31.83203125" customWidth="1"/>
    <col min="13" max="13" width="24.83203125" customWidth="1"/>
    <col min="14" max="14" width="30.83203125" customWidth="1"/>
  </cols>
  <sheetData>
    <row r="1">
      <c r="A1" t="str">
        <v>Cas</v>
      </c>
      <c r="B1" t="str">
        <v>Tenant</v>
      </c>
      <c r="C1" t="str">
        <v>Année</v>
      </c>
      <c r="D1" t="str">
        <v>Mois</v>
      </c>
      <c r="E1" t="str">
        <v>Statut paie</v>
      </c>
      <c r="F1" t="str">
        <v>Salaire base</v>
      </c>
      <c r="G1" t="str">
        <v>Sursalaire</v>
      </c>
      <c r="H1" t="str">
        <v>Primes éligibles</v>
      </c>
      <c r="I1" t="str">
        <v>Autres éléments éligibles</v>
      </c>
      <c r="J1" t="str">
        <v>Remboursements frais</v>
      </c>
      <c r="K1" t="str">
        <v>Rémunération éligible congés</v>
      </c>
      <c r="L1" t="str">
        <v>Rémunération éligible licenciement</v>
      </c>
      <c r="M1" t="str">
        <v>Source/justificatif</v>
      </c>
      <c r="N1" t="str">
        <v>Commentaire</v>
      </c>
    </row>
    <row r="2">
      <c r="A2" t="str">
        <v>C01</v>
      </c>
      <c r="B2" t="str">
        <v>A</v>
      </c>
      <c r="C2">
        <v>2026</v>
      </c>
      <c r="D2">
        <v>1</v>
      </c>
      <c r="E2" t="str">
        <v>DRAFT</v>
      </c>
      <c r="F2"/>
      <c r="G2"/>
      <c r="H2"/>
      <c r="I2"/>
      <c r="J2"/>
      <c r="K2" s="1">
        <f>IF(E2="FINALIZED",ROUND(F2+G2+H2+I2,0),0)</f>
        <v>0</v>
      </c>
      <c r="L2" s="1">
        <f>IF(E2="FINALIZED",ROUND(F2+G2+H2+I2,0),0)</f>
        <v>0</v>
      </c>
      <c r="M2"/>
      <c r="N2"/>
    </row>
    <row r="3">
      <c r="A3" t="str">
        <v>C01</v>
      </c>
      <c r="B3" t="str">
        <v>A</v>
      </c>
      <c r="C3">
        <v>2026</v>
      </c>
      <c r="D3">
        <v>2</v>
      </c>
      <c r="E3" t="str">
        <v>DRAFT</v>
      </c>
      <c r="F3"/>
      <c r="G3"/>
      <c r="H3"/>
      <c r="I3"/>
      <c r="J3"/>
      <c r="K3" s="1">
        <f>IF(E3="FINALIZED",ROUND(F3+G3+H3+I3,0),0)</f>
        <v>0</v>
      </c>
      <c r="L3" s="1">
        <f>IF(E3="FINALIZED",ROUND(F3+G3+H3+I3,0),0)</f>
        <v>0</v>
      </c>
      <c r="M3"/>
      <c r="N3"/>
    </row>
    <row r="4">
      <c r="A4" t="str">
        <v>C01</v>
      </c>
      <c r="B4" t="str">
        <v>A</v>
      </c>
      <c r="C4">
        <v>2026</v>
      </c>
      <c r="D4">
        <v>3</v>
      </c>
      <c r="E4" t="str">
        <v>FINALIZED</v>
      </c>
      <c r="F4" t="n">
        <v>200000.0</v>
      </c>
      <c r="G4" t="n">
        <v>50000.0</v>
      </c>
      <c r="H4"/>
      <c r="I4"/>
      <c r="J4"/>
      <c r="K4" s="1">
        <f>IF(E4="FINALIZED",ROUND(F4+G4+H4+I4,0),0)</f>
        <v>250000</v>
      </c>
      <c r="L4" s="1">
        <f>IF(E4="FINALIZED",ROUND(F4+G4+H4+I4,0),0)</f>
        <v>250000</v>
      </c>
      <c r="M4" t="str">
        <v>PAYSLIP-2026-03</v>
      </c>
      <c r="N4" t="str">
        <v>STAGING-PROVISIONS-2026-R1</v>
      </c>
    </row>
    <row r="5">
      <c r="A5" t="str">
        <v>C01</v>
      </c>
      <c r="B5" t="str">
        <v>A</v>
      </c>
      <c r="C5">
        <v>2026</v>
      </c>
      <c r="D5">
        <v>4</v>
      </c>
      <c r="E5" t="str">
        <v>FINALIZED</v>
      </c>
      <c r="F5" t="n">
        <v>200000.0</v>
      </c>
      <c r="G5" t="n">
        <v>50000.0</v>
      </c>
      <c r="H5"/>
      <c r="I5"/>
      <c r="J5"/>
      <c r="K5" s="1">
        <f>IF(E5="FINALIZED",ROUND(F5+G5+H5+I5,0),0)</f>
        <v>250000</v>
      </c>
      <c r="L5" s="1">
        <f>IF(E5="FINALIZED",ROUND(F5+G5+H5+I5,0),0)</f>
        <v>250000</v>
      </c>
      <c r="M5" t="str">
        <v>PAYSLIP-2026-04</v>
      </c>
      <c r="N5" t="str">
        <v>STAGING-PROVISIONS-2026-R1</v>
      </c>
    </row>
    <row r="6">
      <c r="A6" t="str">
        <v>C01</v>
      </c>
      <c r="B6" t="str">
        <v>A</v>
      </c>
      <c r="C6">
        <v>2026</v>
      </c>
      <c r="D6">
        <v>5</v>
      </c>
      <c r="E6" t="str">
        <v>FINALIZED</v>
      </c>
      <c r="F6" t="n">
        <v>200000.0</v>
      </c>
      <c r="G6" t="n">
        <v>50000.0</v>
      </c>
      <c r="H6"/>
      <c r="I6"/>
      <c r="J6"/>
      <c r="K6" s="1">
        <f>IF(E6="FINALIZED",ROUND(F6+G6+H6+I6,0),0)</f>
        <v>250000</v>
      </c>
      <c r="L6" s="1">
        <f>IF(E6="FINALIZED",ROUND(F6+G6+H6+I6,0),0)</f>
        <v>250000</v>
      </c>
      <c r="M6" t="str">
        <v>PAYSLIP-2026-05</v>
      </c>
      <c r="N6" t="str">
        <v>STAGING-PROVISIONS-2026-R1</v>
      </c>
    </row>
    <row r="7">
      <c r="A7" t="str">
        <v>C01</v>
      </c>
      <c r="B7" t="str">
        <v>A</v>
      </c>
      <c r="C7">
        <v>2026</v>
      </c>
      <c r="D7">
        <v>6</v>
      </c>
      <c r="E7" t="str">
        <v>FINALIZED</v>
      </c>
      <c r="F7" t="n">
        <v>200000.0</v>
      </c>
      <c r="G7" t="n">
        <v>50000.0</v>
      </c>
      <c r="H7"/>
      <c r="I7"/>
      <c r="J7"/>
      <c r="K7" s="1">
        <f>IF(E7="FINALIZED",ROUND(F7+G7+H7+I7,0),0)</f>
        <v>250000</v>
      </c>
      <c r="L7" s="1">
        <f>IF(E7="FINALIZED",ROUND(F7+G7+H7+I7,0),0)</f>
        <v>250000</v>
      </c>
      <c r="M7" t="str">
        <v>PAYSLIP-2026-06</v>
      </c>
      <c r="N7" t="str">
        <v>STAGING-PROVISIONS-2026-R1</v>
      </c>
    </row>
    <row r="8">
      <c r="A8" t="str">
        <v>C01</v>
      </c>
      <c r="B8" t="str">
        <v>A</v>
      </c>
      <c r="C8">
        <v>2026</v>
      </c>
      <c r="D8">
        <v>7</v>
      </c>
      <c r="E8" t="str">
        <v>FINALIZED</v>
      </c>
      <c r="F8" t="n">
        <v>200000.0</v>
      </c>
      <c r="G8" t="n">
        <v>50000.0</v>
      </c>
      <c r="H8"/>
      <c r="I8"/>
      <c r="J8"/>
      <c r="K8" s="1">
        <f>IF(E8="FINALIZED",ROUND(F8+G8+H8+I8,0),0)</f>
        <v>250000</v>
      </c>
      <c r="L8" s="1">
        <f>IF(E8="FINALIZED",ROUND(F8+G8+H8+I8,0),0)</f>
        <v>250000</v>
      </c>
      <c r="M8" t="str">
        <v>PAYSLIP-2026-07</v>
      </c>
      <c r="N8" t="str">
        <v>STAGING-PROVISIONS-2026-R1</v>
      </c>
    </row>
    <row r="9">
      <c r="A9" t="str">
        <v>C01</v>
      </c>
      <c r="B9" t="str">
        <v>A</v>
      </c>
      <c r="C9">
        <v>2026</v>
      </c>
      <c r="D9">
        <v>8</v>
      </c>
      <c r="E9" t="str">
        <v>FINALIZED</v>
      </c>
      <c r="F9" t="n">
        <v>200000.0</v>
      </c>
      <c r="G9" t="n">
        <v>50000.0</v>
      </c>
      <c r="H9"/>
      <c r="I9"/>
      <c r="J9"/>
      <c r="K9" s="1">
        <f>IF(E9="FINALIZED",ROUND(F9+G9+H9+I9,0),0)</f>
        <v>250000</v>
      </c>
      <c r="L9" s="1">
        <f>IF(E9="FINALIZED",ROUND(F9+G9+H9+I9,0),0)</f>
        <v>250000</v>
      </c>
      <c r="M9" t="str">
        <v>PAYSLIP-2026-08</v>
      </c>
      <c r="N9" t="str">
        <v>STAGING-PROVISIONS-2026-R1</v>
      </c>
    </row>
    <row r="10">
      <c r="A10" t="str">
        <v>C01</v>
      </c>
      <c r="B10" t="str">
        <v>A</v>
      </c>
      <c r="C10">
        <v>2026</v>
      </c>
      <c r="D10">
        <v>9</v>
      </c>
      <c r="E10"/>
      <c r="F10"/>
      <c r="G10"/>
      <c r="H10"/>
      <c r="I10"/>
      <c r="J10"/>
      <c r="K10" s="1">
        <f>IF(E10="FINALIZED",ROUND(F10+G10+H10+I10,0),0)</f>
        <v>0</v>
      </c>
      <c r="L10" s="1">
        <f>IF(E10="FINALIZED",ROUND(F10+G10+H10+I10,0),0)</f>
        <v>0</v>
      </c>
      <c r="M10"/>
      <c r="N10"/>
    </row>
    <row r="11">
      <c r="A11" t="str">
        <v>C01</v>
      </c>
      <c r="B11" t="str">
        <v>A</v>
      </c>
      <c r="C11">
        <v>2026</v>
      </c>
      <c r="D11">
        <v>10</v>
      </c>
      <c r="E11"/>
      <c r="F11"/>
      <c r="G11"/>
      <c r="H11"/>
      <c r="I11"/>
      <c r="J11"/>
      <c r="K11" s="1">
        <f>IF(E11="FINALIZED",ROUND(F11+G11+H11+I11,0),0)</f>
        <v>0</v>
      </c>
      <c r="L11" s="1">
        <f>IF(E11="FINALIZED",ROUND(F11+G11+H11+I11,0),0)</f>
        <v>0</v>
      </c>
      <c r="M11"/>
      <c r="N11"/>
    </row>
    <row r="12">
      <c r="A12" t="str">
        <v>C01</v>
      </c>
      <c r="B12" t="str">
        <v>A</v>
      </c>
      <c r="C12">
        <v>2026</v>
      </c>
      <c r="D12">
        <v>11</v>
      </c>
      <c r="E12"/>
      <c r="F12"/>
      <c r="G12"/>
      <c r="H12"/>
      <c r="I12"/>
      <c r="J12"/>
      <c r="K12" s="1">
        <f>IF(E12="FINALIZED",ROUND(F12+G12+H12+I12,0),0)</f>
        <v>0</v>
      </c>
      <c r="L12" s="1">
        <f>IF(E12="FINALIZED",ROUND(F12+G12+H12+I12,0),0)</f>
        <v>0</v>
      </c>
      <c r="M12"/>
      <c r="N12"/>
    </row>
    <row r="13">
      <c r="A13" t="str">
        <v>C01</v>
      </c>
      <c r="B13" t="str">
        <v>A</v>
      </c>
      <c r="C13">
        <v>2026</v>
      </c>
      <c r="D13">
        <v>12</v>
      </c>
      <c r="E13"/>
      <c r="F13"/>
      <c r="G13"/>
      <c r="H13"/>
      <c r="I13"/>
      <c r="J13"/>
      <c r="K13" s="1">
        <f>IF(E13="FINALIZED",ROUND(F13+G13+H13+I13,0),0)</f>
        <v>0</v>
      </c>
      <c r="L13" s="1">
        <f>IF(E13="FINALIZED",ROUND(F13+G13+H13+I13,0),0)</f>
        <v>0</v>
      </c>
      <c r="M13"/>
      <c r="N13"/>
    </row>
    <row r="14">
      <c r="A14" t="str">
        <v>C02</v>
      </c>
      <c r="B14" t="str">
        <v>A</v>
      </c>
      <c r="C14">
        <v>2026</v>
      </c>
      <c r="D14">
        <v>1</v>
      </c>
      <c r="E14" t="str">
        <v>FINALIZED</v>
      </c>
      <c r="F14" t="n">
        <v>210000.0</v>
      </c>
      <c r="G14" t="n">
        <v>50000.0</v>
      </c>
      <c r="H14"/>
      <c r="I14"/>
      <c r="J14"/>
      <c r="K14" s="1">
        <f>IF(E14="FINALIZED",ROUND(F14+G14+H14+I14,0),0)</f>
        <v>260000</v>
      </c>
      <c r="L14" s="1">
        <f>IF(E14="FINALIZED",ROUND(F14+G14+H14+I14,0),0)</f>
        <v>260000</v>
      </c>
      <c r="M14" t="str">
        <v>PAYSLIP-2026-01</v>
      </c>
      <c r="N14" t="str">
        <v>STAGING-PROVISIONS-2026-R1</v>
      </c>
    </row>
    <row r="15">
      <c r="A15" t="str">
        <v>C02</v>
      </c>
      <c r="B15" t="str">
        <v>A</v>
      </c>
      <c r="C15">
        <v>2026</v>
      </c>
      <c r="D15">
        <v>2</v>
      </c>
      <c r="E15" t="str">
        <v>FINALIZED</v>
      </c>
      <c r="F15" t="n">
        <v>210000.0</v>
      </c>
      <c r="G15" t="n">
        <v>50000.0</v>
      </c>
      <c r="H15"/>
      <c r="I15"/>
      <c r="J15"/>
      <c r="K15" s="1">
        <f>IF(E15="FINALIZED",ROUND(F15+G15+H15+I15,0),0)</f>
        <v>260000</v>
      </c>
      <c r="L15" s="1">
        <f>IF(E15="FINALIZED",ROUND(F15+G15+H15+I15,0),0)</f>
        <v>260000</v>
      </c>
      <c r="M15" t="str">
        <v>PAYSLIP-2026-02</v>
      </c>
      <c r="N15" t="str">
        <v>STAGING-PROVISIONS-2026-R1</v>
      </c>
    </row>
    <row r="16">
      <c r="A16" t="str">
        <v>C02</v>
      </c>
      <c r="B16" t="str">
        <v>A</v>
      </c>
      <c r="C16">
        <v>2026</v>
      </c>
      <c r="D16">
        <v>3</v>
      </c>
      <c r="E16" t="str">
        <v>FINALIZED</v>
      </c>
      <c r="F16" t="n">
        <v>210000.0</v>
      </c>
      <c r="G16" t="n">
        <v>50000.0</v>
      </c>
      <c r="H16"/>
      <c r="I16"/>
      <c r="J16"/>
      <c r="K16" s="1">
        <f>IF(E16="FINALIZED",ROUND(F16+G16+H16+I16,0),0)</f>
        <v>260000</v>
      </c>
      <c r="L16" s="1">
        <f>IF(E16="FINALIZED",ROUND(F16+G16+H16+I16,0),0)</f>
        <v>260000</v>
      </c>
      <c r="M16" t="str">
        <v>PAYSLIP-2026-03</v>
      </c>
      <c r="N16" t="str">
        <v>STAGING-PROVISIONS-2026-R1</v>
      </c>
    </row>
    <row r="17">
      <c r="A17" t="str">
        <v>C02</v>
      </c>
      <c r="B17" t="str">
        <v>A</v>
      </c>
      <c r="C17">
        <v>2026</v>
      </c>
      <c r="D17">
        <v>4</v>
      </c>
      <c r="E17" t="str">
        <v>FINALIZED</v>
      </c>
      <c r="F17" t="n">
        <v>210000.0</v>
      </c>
      <c r="G17" t="n">
        <v>50000.0</v>
      </c>
      <c r="H17"/>
      <c r="I17"/>
      <c r="J17"/>
      <c r="K17" s="1">
        <f>IF(E17="FINALIZED",ROUND(F17+G17+H17+I17,0),0)</f>
        <v>260000</v>
      </c>
      <c r="L17" s="1">
        <f>IF(E17="FINALIZED",ROUND(F17+G17+H17+I17,0),0)</f>
        <v>260000</v>
      </c>
      <c r="M17" t="str">
        <v>PAYSLIP-2026-04</v>
      </c>
      <c r="N17" t="str">
        <v>STAGING-PROVISIONS-2026-R1</v>
      </c>
    </row>
    <row r="18">
      <c r="A18" t="str">
        <v>C02</v>
      </c>
      <c r="B18" t="str">
        <v>A</v>
      </c>
      <c r="C18">
        <v>2026</v>
      </c>
      <c r="D18">
        <v>5</v>
      </c>
      <c r="E18" t="str">
        <v>FINALIZED</v>
      </c>
      <c r="F18" t="n">
        <v>210000.0</v>
      </c>
      <c r="G18" t="n">
        <v>50000.0</v>
      </c>
      <c r="H18"/>
      <c r="I18"/>
      <c r="J18"/>
      <c r="K18" s="1">
        <f>IF(E18="FINALIZED",ROUND(F18+G18+H18+I18,0),0)</f>
        <v>260000</v>
      </c>
      <c r="L18" s="1">
        <f>IF(E18="FINALIZED",ROUND(F18+G18+H18+I18,0),0)</f>
        <v>260000</v>
      </c>
      <c r="M18" t="str">
        <v>PAYSLIP-2026-05</v>
      </c>
      <c r="N18" t="str">
        <v>STAGING-PROVISIONS-2026-R1</v>
      </c>
    </row>
    <row r="19">
      <c r="A19" t="str">
        <v>C02</v>
      </c>
      <c r="B19" t="str">
        <v>A</v>
      </c>
      <c r="C19">
        <v>2026</v>
      </c>
      <c r="D19">
        <v>6</v>
      </c>
      <c r="E19" t="str">
        <v>FINALIZED</v>
      </c>
      <c r="F19" t="n">
        <v>210000.0</v>
      </c>
      <c r="G19" t="n">
        <v>50000.0</v>
      </c>
      <c r="H19"/>
      <c r="I19"/>
      <c r="J19"/>
      <c r="K19" s="1">
        <f>IF(E19="FINALIZED",ROUND(F19+G19+H19+I19,0),0)</f>
        <v>260000</v>
      </c>
      <c r="L19" s="1">
        <f>IF(E19="FINALIZED",ROUND(F19+G19+H19+I19,0),0)</f>
        <v>260000</v>
      </c>
      <c r="M19" t="str">
        <v>PAYSLIP-2026-06</v>
      </c>
      <c r="N19" t="str">
        <v>STAGING-PROVISIONS-2026-R1</v>
      </c>
    </row>
    <row r="20">
      <c r="A20" t="str">
        <v>C02</v>
      </c>
      <c r="B20" t="str">
        <v>A</v>
      </c>
      <c r="C20">
        <v>2026</v>
      </c>
      <c r="D20">
        <v>7</v>
      </c>
      <c r="E20" t="str">
        <v>FINALIZED</v>
      </c>
      <c r="F20" t="n">
        <v>210000.0</v>
      </c>
      <c r="G20" t="n">
        <v>50000.0</v>
      </c>
      <c r="H20"/>
      <c r="I20"/>
      <c r="J20"/>
      <c r="K20" s="1">
        <f>IF(E20="FINALIZED",ROUND(F20+G20+H20+I20,0),0)</f>
        <v>260000</v>
      </c>
      <c r="L20" s="1">
        <f>IF(E20="FINALIZED",ROUND(F20+G20+H20+I20,0),0)</f>
        <v>260000</v>
      </c>
      <c r="M20" t="str">
        <v>PAYSLIP-2026-07</v>
      </c>
      <c r="N20" t="str">
        <v>STAGING-PROVISIONS-2026-R1</v>
      </c>
    </row>
    <row r="21">
      <c r="A21" t="str">
        <v>C02</v>
      </c>
      <c r="B21" t="str">
        <v>A</v>
      </c>
      <c r="C21">
        <v>2026</v>
      </c>
      <c r="D21">
        <v>8</v>
      </c>
      <c r="E21" t="str">
        <v>FINALIZED</v>
      </c>
      <c r="F21" t="n">
        <v>210000.0</v>
      </c>
      <c r="G21" t="n">
        <v>50000.0</v>
      </c>
      <c r="H21"/>
      <c r="I21"/>
      <c r="J21"/>
      <c r="K21" s="1">
        <f>IF(E21="FINALIZED",ROUND(F21+G21+H21+I21,0),0)</f>
        <v>260000</v>
      </c>
      <c r="L21" s="1">
        <f>IF(E21="FINALIZED",ROUND(F21+G21+H21+I21,0),0)</f>
        <v>260000</v>
      </c>
      <c r="M21" t="str">
        <v>PAYSLIP-2026-08</v>
      </c>
      <c r="N21" t="str">
        <v>STAGING-PROVISIONS-2026-R1</v>
      </c>
    </row>
    <row r="22">
      <c r="A22" t="str">
        <v>C02</v>
      </c>
      <c r="B22" t="str">
        <v>A</v>
      </c>
      <c r="C22">
        <v>2026</v>
      </c>
      <c r="D22">
        <v>9</v>
      </c>
      <c r="E22"/>
      <c r="F22"/>
      <c r="G22"/>
      <c r="H22"/>
      <c r="I22"/>
      <c r="J22"/>
      <c r="K22" s="1">
        <f>IF(E22="FINALIZED",ROUND(F22+G22+H22+I22,0),0)</f>
        <v>0</v>
      </c>
      <c r="L22" s="1">
        <f>IF(E22="FINALIZED",ROUND(F22+G22+H22+I22,0),0)</f>
        <v>0</v>
      </c>
      <c r="M22"/>
      <c r="N22"/>
    </row>
    <row r="23">
      <c r="A23" t="str">
        <v>C02</v>
      </c>
      <c r="B23" t="str">
        <v>A</v>
      </c>
      <c r="C23">
        <v>2026</v>
      </c>
      <c r="D23">
        <v>10</v>
      </c>
      <c r="E23"/>
      <c r="F23"/>
      <c r="G23"/>
      <c r="H23"/>
      <c r="I23"/>
      <c r="J23"/>
      <c r="K23" s="1">
        <f>IF(E23="FINALIZED",ROUND(F23+G23+H23+I23,0),0)</f>
        <v>0</v>
      </c>
      <c r="L23" s="1">
        <f>IF(E23="FINALIZED",ROUND(F23+G23+H23+I23,0),0)</f>
        <v>0</v>
      </c>
      <c r="M23"/>
      <c r="N23"/>
    </row>
    <row r="24">
      <c r="A24" t="str">
        <v>C02</v>
      </c>
      <c r="B24" t="str">
        <v>A</v>
      </c>
      <c r="C24">
        <v>2026</v>
      </c>
      <c r="D24">
        <v>11</v>
      </c>
      <c r="E24"/>
      <c r="F24"/>
      <c r="G24"/>
      <c r="H24"/>
      <c r="I24"/>
      <c r="J24"/>
      <c r="K24" s="1">
        <f>IF(E24="FINALIZED",ROUND(F24+G24+H24+I24,0),0)</f>
        <v>0</v>
      </c>
      <c r="L24" s="1">
        <f>IF(E24="FINALIZED",ROUND(F24+G24+H24+I24,0),0)</f>
        <v>0</v>
      </c>
      <c r="M24"/>
      <c r="N24"/>
    </row>
    <row r="25">
      <c r="A25" t="str">
        <v>C02</v>
      </c>
      <c r="B25" t="str">
        <v>A</v>
      </c>
      <c r="C25">
        <v>2026</v>
      </c>
      <c r="D25">
        <v>12</v>
      </c>
      <c r="E25"/>
      <c r="F25"/>
      <c r="G25"/>
      <c r="H25"/>
      <c r="I25"/>
      <c r="J25"/>
      <c r="K25" s="1">
        <f>IF(E25="FINALIZED",ROUND(F25+G25+H25+I25,0),0)</f>
        <v>0</v>
      </c>
      <c r="L25" s="1">
        <f>IF(E25="FINALIZED",ROUND(F25+G25+H25+I25,0),0)</f>
        <v>0</v>
      </c>
      <c r="M25"/>
      <c r="N25"/>
    </row>
    <row r="26">
      <c r="A26" t="str">
        <v>C03</v>
      </c>
      <c r="B26" t="str">
        <v>A</v>
      </c>
      <c r="C26">
        <v>2026</v>
      </c>
      <c r="D26">
        <v>1</v>
      </c>
      <c r="E26" t="str">
        <v>FINALIZED</v>
      </c>
      <c r="F26" t="n">
        <v>220000.0</v>
      </c>
      <c r="G26" t="n">
        <v>60000.0</v>
      </c>
      <c r="H26"/>
      <c r="I26"/>
      <c r="J26"/>
      <c r="K26" s="1">
        <f>IF(E26="FINALIZED",ROUND(F26+G26+H26+I26,0),0)</f>
        <v>280000</v>
      </c>
      <c r="L26" s="1">
        <f>IF(E26="FINALIZED",ROUND(F26+G26+H26+I26,0),0)</f>
        <v>280000</v>
      </c>
      <c r="M26" t="str">
        <v>PAYSLIP-2026-01</v>
      </c>
      <c r="N26" t="str">
        <v>STAGING-PROVISIONS-2026-R1</v>
      </c>
    </row>
    <row r="27">
      <c r="A27" t="str">
        <v>C03</v>
      </c>
      <c r="B27" t="str">
        <v>A</v>
      </c>
      <c r="C27">
        <v>2026</v>
      </c>
      <c r="D27">
        <v>2</v>
      </c>
      <c r="E27" t="str">
        <v>FINALIZED</v>
      </c>
      <c r="F27" t="n">
        <v>220000.0</v>
      </c>
      <c r="G27" t="n">
        <v>60000.0</v>
      </c>
      <c r="H27"/>
      <c r="I27"/>
      <c r="J27"/>
      <c r="K27" s="1">
        <f>IF(E27="FINALIZED",ROUND(F27+G27+H27+I27,0),0)</f>
        <v>280000</v>
      </c>
      <c r="L27" s="1">
        <f>IF(E27="FINALIZED",ROUND(F27+G27+H27+I27,0),0)</f>
        <v>280000</v>
      </c>
      <c r="M27" t="str">
        <v>PAYSLIP-2026-02</v>
      </c>
      <c r="N27" t="str">
        <v>STAGING-PROVISIONS-2026-R1</v>
      </c>
    </row>
    <row r="28">
      <c r="A28" t="str">
        <v>C03</v>
      </c>
      <c r="B28" t="str">
        <v>A</v>
      </c>
      <c r="C28">
        <v>2026</v>
      </c>
      <c r="D28">
        <v>3</v>
      </c>
      <c r="E28" t="str">
        <v>FINALIZED</v>
      </c>
      <c r="F28" t="n">
        <v>220000.0</v>
      </c>
      <c r="G28" t="n">
        <v>60000.0</v>
      </c>
      <c r="H28"/>
      <c r="I28"/>
      <c r="J28"/>
      <c r="K28" s="1">
        <f>IF(E28="FINALIZED",ROUND(F28+G28+H28+I28,0),0)</f>
        <v>280000</v>
      </c>
      <c r="L28" s="1">
        <f>IF(E28="FINALIZED",ROUND(F28+G28+H28+I28,0),0)</f>
        <v>280000</v>
      </c>
      <c r="M28" t="str">
        <v>PAYSLIP-2026-03</v>
      </c>
      <c r="N28" t="str">
        <v>STAGING-PROVISIONS-2026-R1</v>
      </c>
    </row>
    <row r="29">
      <c r="A29" t="str">
        <v>C03</v>
      </c>
      <c r="B29" t="str">
        <v>A</v>
      </c>
      <c r="C29">
        <v>2026</v>
      </c>
      <c r="D29">
        <v>4</v>
      </c>
      <c r="E29" t="str">
        <v>FINALIZED</v>
      </c>
      <c r="F29" t="n">
        <v>220000.0</v>
      </c>
      <c r="G29" t="n">
        <v>60000.0</v>
      </c>
      <c r="H29"/>
      <c r="I29"/>
      <c r="J29"/>
      <c r="K29" s="1">
        <f>IF(E29="FINALIZED",ROUND(F29+G29+H29+I29,0),0)</f>
        <v>280000</v>
      </c>
      <c r="L29" s="1">
        <f>IF(E29="FINALIZED",ROUND(F29+G29+H29+I29,0),0)</f>
        <v>280000</v>
      </c>
      <c r="M29" t="str">
        <v>PAYSLIP-2026-04</v>
      </c>
      <c r="N29" t="str">
        <v>STAGING-PROVISIONS-2026-R1</v>
      </c>
    </row>
    <row r="30">
      <c r="A30" t="str">
        <v>C03</v>
      </c>
      <c r="B30" t="str">
        <v>A</v>
      </c>
      <c r="C30">
        <v>2026</v>
      </c>
      <c r="D30">
        <v>5</v>
      </c>
      <c r="E30" t="str">
        <v>FINALIZED</v>
      </c>
      <c r="F30" t="n">
        <v>220000.0</v>
      </c>
      <c r="G30" t="n">
        <v>60000.0</v>
      </c>
      <c r="H30"/>
      <c r="I30"/>
      <c r="J30"/>
      <c r="K30" s="1">
        <f>IF(E30="FINALIZED",ROUND(F30+G30+H30+I30,0),0)</f>
        <v>280000</v>
      </c>
      <c r="L30" s="1">
        <f>IF(E30="FINALIZED",ROUND(F30+G30+H30+I30,0),0)</f>
        <v>280000</v>
      </c>
      <c r="M30" t="str">
        <v>PAYSLIP-2026-05</v>
      </c>
      <c r="N30" t="str">
        <v>STAGING-PROVISIONS-2026-R1</v>
      </c>
    </row>
    <row r="31">
      <c r="A31" t="str">
        <v>C03</v>
      </c>
      <c r="B31" t="str">
        <v>A</v>
      </c>
      <c r="C31">
        <v>2026</v>
      </c>
      <c r="D31">
        <v>6</v>
      </c>
      <c r="E31" t="str">
        <v>FINALIZED</v>
      </c>
      <c r="F31" t="n">
        <v>220000.0</v>
      </c>
      <c r="G31" t="n">
        <v>60000.0</v>
      </c>
      <c r="H31"/>
      <c r="I31"/>
      <c r="J31"/>
      <c r="K31" s="1">
        <f>IF(E31="FINALIZED",ROUND(F31+G31+H31+I31,0),0)</f>
        <v>280000</v>
      </c>
      <c r="L31" s="1">
        <f>IF(E31="FINALIZED",ROUND(F31+G31+H31+I31,0),0)</f>
        <v>280000</v>
      </c>
      <c r="M31" t="str">
        <v>PAYSLIP-2026-06</v>
      </c>
      <c r="N31" t="str">
        <v>STAGING-PROVISIONS-2026-R1</v>
      </c>
    </row>
    <row r="32">
      <c r="A32" t="str">
        <v>C03</v>
      </c>
      <c r="B32" t="str">
        <v>A</v>
      </c>
      <c r="C32">
        <v>2026</v>
      </c>
      <c r="D32">
        <v>7</v>
      </c>
      <c r="E32" t="str">
        <v>FINALIZED</v>
      </c>
      <c r="F32" t="n">
        <v>220000.0</v>
      </c>
      <c r="G32" t="n">
        <v>60000.0</v>
      </c>
      <c r="H32"/>
      <c r="I32"/>
      <c r="J32"/>
      <c r="K32" s="1">
        <f>IF(E32="FINALIZED",ROUND(F32+G32+H32+I32,0),0)</f>
        <v>280000</v>
      </c>
      <c r="L32" s="1">
        <f>IF(E32="FINALIZED",ROUND(F32+G32+H32+I32,0),0)</f>
        <v>280000</v>
      </c>
      <c r="M32" t="str">
        <v>PAYSLIP-2026-07</v>
      </c>
      <c r="N32" t="str">
        <v>STAGING-PROVISIONS-2026-R1</v>
      </c>
    </row>
    <row r="33">
      <c r="A33" t="str">
        <v>C03</v>
      </c>
      <c r="B33" t="str">
        <v>A</v>
      </c>
      <c r="C33">
        <v>2026</v>
      </c>
      <c r="D33">
        <v>8</v>
      </c>
      <c r="E33" t="str">
        <v>FINALIZED</v>
      </c>
      <c r="F33" t="n">
        <v>220000.0</v>
      </c>
      <c r="G33" t="n">
        <v>60000.0</v>
      </c>
      <c r="H33"/>
      <c r="I33"/>
      <c r="J33"/>
      <c r="K33" s="1">
        <f>IF(E33="FINALIZED",ROUND(F33+G33+H33+I33,0),0)</f>
        <v>280000</v>
      </c>
      <c r="L33" s="1">
        <f>IF(E33="FINALIZED",ROUND(F33+G33+H33+I33,0),0)</f>
        <v>280000</v>
      </c>
      <c r="M33" t="str">
        <v>PAYSLIP-2026-08</v>
      </c>
      <c r="N33" t="str">
        <v>STAGING-PROVISIONS-2026-R1</v>
      </c>
    </row>
    <row r="34">
      <c r="A34" t="str">
        <v>C03</v>
      </c>
      <c r="B34" t="str">
        <v>A</v>
      </c>
      <c r="C34">
        <v>2026</v>
      </c>
      <c r="D34">
        <v>9</v>
      </c>
      <c r="E34"/>
      <c r="F34"/>
      <c r="G34"/>
      <c r="H34"/>
      <c r="I34"/>
      <c r="J34"/>
      <c r="K34" s="1">
        <f>IF(E34="FINALIZED",ROUND(F34+G34+H34+I34,0),0)</f>
        <v>0</v>
      </c>
      <c r="L34" s="1">
        <f>IF(E34="FINALIZED",ROUND(F34+G34+H34+I34,0),0)</f>
        <v>0</v>
      </c>
      <c r="M34"/>
      <c r="N34"/>
    </row>
    <row r="35">
      <c r="A35" t="str">
        <v>C03</v>
      </c>
      <c r="B35" t="str">
        <v>A</v>
      </c>
      <c r="C35">
        <v>2026</v>
      </c>
      <c r="D35">
        <v>10</v>
      </c>
      <c r="E35"/>
      <c r="F35"/>
      <c r="G35"/>
      <c r="H35"/>
      <c r="I35"/>
      <c r="J35"/>
      <c r="K35" s="1">
        <f>IF(E35="FINALIZED",ROUND(F35+G35+H35+I35,0),0)</f>
        <v>0</v>
      </c>
      <c r="L35" s="1">
        <f>IF(E35="FINALIZED",ROUND(F35+G35+H35+I35,0),0)</f>
        <v>0</v>
      </c>
      <c r="M35"/>
      <c r="N35"/>
    </row>
    <row r="36">
      <c r="A36" t="str">
        <v>C03</v>
      </c>
      <c r="B36" t="str">
        <v>A</v>
      </c>
      <c r="C36">
        <v>2026</v>
      </c>
      <c r="D36">
        <v>11</v>
      </c>
      <c r="E36"/>
      <c r="F36"/>
      <c r="G36"/>
      <c r="H36"/>
      <c r="I36"/>
      <c r="J36"/>
      <c r="K36" s="1">
        <f>IF(E36="FINALIZED",ROUND(F36+G36+H36+I36,0),0)</f>
        <v>0</v>
      </c>
      <c r="L36" s="1">
        <f>IF(E36="FINALIZED",ROUND(F36+G36+H36+I36,0),0)</f>
        <v>0</v>
      </c>
      <c r="M36"/>
      <c r="N36"/>
    </row>
    <row r="37">
      <c r="A37" t="str">
        <v>C03</v>
      </c>
      <c r="B37" t="str">
        <v>A</v>
      </c>
      <c r="C37">
        <v>2026</v>
      </c>
      <c r="D37">
        <v>12</v>
      </c>
      <c r="E37"/>
      <c r="F37"/>
      <c r="G37"/>
      <c r="H37"/>
      <c r="I37"/>
      <c r="J37"/>
      <c r="K37" s="1">
        <f>IF(E37="FINALIZED",ROUND(F37+G37+H37+I37,0),0)</f>
        <v>0</v>
      </c>
      <c r="L37" s="1">
        <f>IF(E37="FINALIZED",ROUND(F37+G37+H37+I37,0),0)</f>
        <v>0</v>
      </c>
      <c r="M37"/>
      <c r="N37"/>
    </row>
    <row r="38">
      <c r="A38" t="str">
        <v>C04</v>
      </c>
      <c r="B38" t="str">
        <v>A</v>
      </c>
      <c r="C38">
        <v>2026</v>
      </c>
      <c r="D38">
        <v>1</v>
      </c>
      <c r="E38" t="str">
        <v>FINALIZED</v>
      </c>
      <c r="F38" t="n">
        <v>240000.0</v>
      </c>
      <c r="G38" t="n">
        <v>60000.0</v>
      </c>
      <c r="H38"/>
      <c r="I38"/>
      <c r="J38"/>
      <c r="K38" s="1">
        <f>IF(E38="FINALIZED",ROUND(F38+G38+H38+I38,0),0)</f>
        <v>300000</v>
      </c>
      <c r="L38" s="1">
        <f>IF(E38="FINALIZED",ROUND(F38+G38+H38+I38,0),0)</f>
        <v>300000</v>
      </c>
      <c r="M38" t="str">
        <v>PAYSLIP-2026-01</v>
      </c>
      <c r="N38" t="str">
        <v>STAGING-PROVISIONS-2026-R1</v>
      </c>
    </row>
    <row r="39">
      <c r="A39" t="str">
        <v>C04</v>
      </c>
      <c r="B39" t="str">
        <v>A</v>
      </c>
      <c r="C39">
        <v>2026</v>
      </c>
      <c r="D39">
        <v>2</v>
      </c>
      <c r="E39" t="str">
        <v>FINALIZED</v>
      </c>
      <c r="F39" t="n">
        <v>240000.0</v>
      </c>
      <c r="G39" t="n">
        <v>60000.0</v>
      </c>
      <c r="H39"/>
      <c r="I39"/>
      <c r="J39"/>
      <c r="K39" s="1">
        <f>IF(E39="FINALIZED",ROUND(F39+G39+H39+I39,0),0)</f>
        <v>300000</v>
      </c>
      <c r="L39" s="1">
        <f>IF(E39="FINALIZED",ROUND(F39+G39+H39+I39,0),0)</f>
        <v>300000</v>
      </c>
      <c r="M39" t="str">
        <v>PAYSLIP-2026-02</v>
      </c>
      <c r="N39" t="str">
        <v>STAGING-PROVISIONS-2026-R1</v>
      </c>
    </row>
    <row r="40">
      <c r="A40" t="str">
        <v>C04</v>
      </c>
      <c r="B40" t="str">
        <v>A</v>
      </c>
      <c r="C40">
        <v>2026</v>
      </c>
      <c r="D40">
        <v>3</v>
      </c>
      <c r="E40" t="str">
        <v>FINALIZED</v>
      </c>
      <c r="F40" t="n">
        <v>240000.0</v>
      </c>
      <c r="G40" t="n">
        <v>60000.0</v>
      </c>
      <c r="H40"/>
      <c r="I40"/>
      <c r="J40"/>
      <c r="K40" s="1">
        <f>IF(E40="FINALIZED",ROUND(F40+G40+H40+I40,0),0)</f>
        <v>300000</v>
      </c>
      <c r="L40" s="1">
        <f>IF(E40="FINALIZED",ROUND(F40+G40+H40+I40,0),0)</f>
        <v>300000</v>
      </c>
      <c r="M40" t="str">
        <v>PAYSLIP-2026-03</v>
      </c>
      <c r="N40" t="str">
        <v>STAGING-PROVISIONS-2026-R1</v>
      </c>
    </row>
    <row r="41">
      <c r="A41" t="str">
        <v>C04</v>
      </c>
      <c r="B41" t="str">
        <v>A</v>
      </c>
      <c r="C41">
        <v>2026</v>
      </c>
      <c r="D41">
        <v>4</v>
      </c>
      <c r="E41" t="str">
        <v>FINALIZED</v>
      </c>
      <c r="F41" t="n">
        <v>240000.0</v>
      </c>
      <c r="G41" t="n">
        <v>60000.0</v>
      </c>
      <c r="H41"/>
      <c r="I41"/>
      <c r="J41"/>
      <c r="K41" s="1">
        <f>IF(E41="FINALIZED",ROUND(F41+G41+H41+I41,0),0)</f>
        <v>300000</v>
      </c>
      <c r="L41" s="1">
        <f>IF(E41="FINALIZED",ROUND(F41+G41+H41+I41,0),0)</f>
        <v>300000</v>
      </c>
      <c r="M41" t="str">
        <v>PAYSLIP-2026-04</v>
      </c>
      <c r="N41" t="str">
        <v>STAGING-PROVISIONS-2026-R1</v>
      </c>
    </row>
    <row r="42">
      <c r="A42" t="str">
        <v>C04</v>
      </c>
      <c r="B42" t="str">
        <v>A</v>
      </c>
      <c r="C42">
        <v>2026</v>
      </c>
      <c r="D42">
        <v>5</v>
      </c>
      <c r="E42" t="str">
        <v>FINALIZED</v>
      </c>
      <c r="F42" t="n">
        <v>240000.0</v>
      </c>
      <c r="G42" t="n">
        <v>60000.0</v>
      </c>
      <c r="H42"/>
      <c r="I42"/>
      <c r="J42"/>
      <c r="K42" s="1">
        <f>IF(E42="FINALIZED",ROUND(F42+G42+H42+I42,0),0)</f>
        <v>300000</v>
      </c>
      <c r="L42" s="1">
        <f>IF(E42="FINALIZED",ROUND(F42+G42+H42+I42,0),0)</f>
        <v>300000</v>
      </c>
      <c r="M42" t="str">
        <v>PAYSLIP-2026-05</v>
      </c>
      <c r="N42" t="str">
        <v>STAGING-PROVISIONS-2026-R1</v>
      </c>
    </row>
    <row r="43">
      <c r="A43" t="str">
        <v>C04</v>
      </c>
      <c r="B43" t="str">
        <v>A</v>
      </c>
      <c r="C43">
        <v>2026</v>
      </c>
      <c r="D43">
        <v>6</v>
      </c>
      <c r="E43" t="str">
        <v>FINALIZED</v>
      </c>
      <c r="F43" t="n">
        <v>240000.0</v>
      </c>
      <c r="G43" t="n">
        <v>60000.0</v>
      </c>
      <c r="H43"/>
      <c r="I43"/>
      <c r="J43"/>
      <c r="K43" s="1">
        <f>IF(E43="FINALIZED",ROUND(F43+G43+H43+I43,0),0)</f>
        <v>300000</v>
      </c>
      <c r="L43" s="1">
        <f>IF(E43="FINALIZED",ROUND(F43+G43+H43+I43,0),0)</f>
        <v>300000</v>
      </c>
      <c r="M43" t="str">
        <v>PAYSLIP-2026-06</v>
      </c>
      <c r="N43" t="str">
        <v>STAGING-PROVISIONS-2026-R1</v>
      </c>
    </row>
    <row r="44">
      <c r="A44" t="str">
        <v>C04</v>
      </c>
      <c r="B44" t="str">
        <v>A</v>
      </c>
      <c r="C44">
        <v>2026</v>
      </c>
      <c r="D44">
        <v>7</v>
      </c>
      <c r="E44" t="str">
        <v>FINALIZED</v>
      </c>
      <c r="F44" t="n">
        <v>240000.0</v>
      </c>
      <c r="G44" t="n">
        <v>60000.0</v>
      </c>
      <c r="H44"/>
      <c r="I44"/>
      <c r="J44"/>
      <c r="K44" s="1">
        <f>IF(E44="FINALIZED",ROUND(F44+G44+H44+I44,0),0)</f>
        <v>300000</v>
      </c>
      <c r="L44" s="1">
        <f>IF(E44="FINALIZED",ROUND(F44+G44+H44+I44,0),0)</f>
        <v>300000</v>
      </c>
      <c r="M44" t="str">
        <v>PAYSLIP-2026-07</v>
      </c>
      <c r="N44" t="str">
        <v>STAGING-PROVISIONS-2026-R1</v>
      </c>
    </row>
    <row r="45">
      <c r="A45" t="str">
        <v>C04</v>
      </c>
      <c r="B45" t="str">
        <v>A</v>
      </c>
      <c r="C45">
        <v>2026</v>
      </c>
      <c r="D45">
        <v>8</v>
      </c>
      <c r="E45" t="str">
        <v>FINALIZED</v>
      </c>
      <c r="F45" t="n">
        <v>240000.0</v>
      </c>
      <c r="G45" t="n">
        <v>60000.0</v>
      </c>
      <c r="H45"/>
      <c r="I45"/>
      <c r="J45"/>
      <c r="K45" s="1">
        <f>IF(E45="FINALIZED",ROUND(F45+G45+H45+I45,0),0)</f>
        <v>300000</v>
      </c>
      <c r="L45" s="1">
        <f>IF(E45="FINALIZED",ROUND(F45+G45+H45+I45,0),0)</f>
        <v>300000</v>
      </c>
      <c r="M45" t="str">
        <v>PAYSLIP-2026-08</v>
      </c>
      <c r="N45" t="str">
        <v>STAGING-PROVISIONS-2026-R1</v>
      </c>
    </row>
    <row r="46">
      <c r="A46" t="str">
        <v>C04</v>
      </c>
      <c r="B46" t="str">
        <v>A</v>
      </c>
      <c r="C46">
        <v>2026</v>
      </c>
      <c r="D46">
        <v>9</v>
      </c>
      <c r="E46"/>
      <c r="F46"/>
      <c r="G46"/>
      <c r="H46"/>
      <c r="I46"/>
      <c r="J46"/>
      <c r="K46" s="1">
        <f>IF(E46="FINALIZED",ROUND(F46+G46+H46+I46,0),0)</f>
        <v>0</v>
      </c>
      <c r="L46" s="1">
        <f>IF(E46="FINALIZED",ROUND(F46+G46+H46+I46,0),0)</f>
        <v>0</v>
      </c>
      <c r="M46"/>
      <c r="N46"/>
    </row>
    <row r="47">
      <c r="A47" t="str">
        <v>C04</v>
      </c>
      <c r="B47" t="str">
        <v>A</v>
      </c>
      <c r="C47">
        <v>2026</v>
      </c>
      <c r="D47">
        <v>10</v>
      </c>
      <c r="E47"/>
      <c r="F47"/>
      <c r="G47"/>
      <c r="H47"/>
      <c r="I47"/>
      <c r="J47"/>
      <c r="K47" s="1">
        <f>IF(E47="FINALIZED",ROUND(F47+G47+H47+I47,0),0)</f>
        <v>0</v>
      </c>
      <c r="L47" s="1">
        <f>IF(E47="FINALIZED",ROUND(F47+G47+H47+I47,0),0)</f>
        <v>0</v>
      </c>
      <c r="M47"/>
      <c r="N47"/>
    </row>
    <row r="48">
      <c r="A48" t="str">
        <v>C04</v>
      </c>
      <c r="B48" t="str">
        <v>A</v>
      </c>
      <c r="C48">
        <v>2026</v>
      </c>
      <c r="D48">
        <v>11</v>
      </c>
      <c r="E48"/>
      <c r="F48"/>
      <c r="G48"/>
      <c r="H48"/>
      <c r="I48"/>
      <c r="J48"/>
      <c r="K48" s="1">
        <f>IF(E48="FINALIZED",ROUND(F48+G48+H48+I48,0),0)</f>
        <v>0</v>
      </c>
      <c r="L48" s="1">
        <f>IF(E48="FINALIZED",ROUND(F48+G48+H48+I48,0),0)</f>
        <v>0</v>
      </c>
      <c r="M48"/>
      <c r="N48"/>
    </row>
    <row r="49">
      <c r="A49" t="str">
        <v>C04</v>
      </c>
      <c r="B49" t="str">
        <v>A</v>
      </c>
      <c r="C49">
        <v>2026</v>
      </c>
      <c r="D49">
        <v>12</v>
      </c>
      <c r="E49"/>
      <c r="F49"/>
      <c r="G49"/>
      <c r="H49"/>
      <c r="I49"/>
      <c r="J49"/>
      <c r="K49" s="1">
        <f>IF(E49="FINALIZED",ROUND(F49+G49+H49+I49,0),0)</f>
        <v>0</v>
      </c>
      <c r="L49" s="1">
        <f>IF(E49="FINALIZED",ROUND(F49+G49+H49+I49,0),0)</f>
        <v>0</v>
      </c>
      <c r="M49"/>
      <c r="N49"/>
    </row>
    <row r="50">
      <c r="A50" t="str">
        <v>C05</v>
      </c>
      <c r="B50" t="str">
        <v>A</v>
      </c>
      <c r="C50">
        <v>2026</v>
      </c>
      <c r="D50">
        <v>1</v>
      </c>
      <c r="E50" t="str">
        <v>FINALIZED</v>
      </c>
      <c r="F50" t="n">
        <v>200000.0</v>
      </c>
      <c r="G50" t="n">
        <v>40000.0</v>
      </c>
      <c r="H50"/>
      <c r="I50"/>
      <c r="J50"/>
      <c r="K50" s="1">
        <f>IF(E50="FINALIZED",ROUND(F50+G50+H50+I50,0),0)</f>
        <v>240000</v>
      </c>
      <c r="L50" s="1">
        <f>IF(E50="FINALIZED",ROUND(F50+G50+H50+I50,0),0)</f>
        <v>240000</v>
      </c>
      <c r="M50" t="str">
        <v>PAYSLIP-2026-01</v>
      </c>
      <c r="N50" t="str">
        <v>STAGING-PROVISIONS-2026-R1</v>
      </c>
    </row>
    <row r="51">
      <c r="A51" t="str">
        <v>C05</v>
      </c>
      <c r="B51" t="str">
        <v>A</v>
      </c>
      <c r="C51">
        <v>2026</v>
      </c>
      <c r="D51">
        <v>2</v>
      </c>
      <c r="E51" t="str">
        <v>FINALIZED</v>
      </c>
      <c r="F51" t="n">
        <v>200000.0</v>
      </c>
      <c r="G51" t="n">
        <v>40000.0</v>
      </c>
      <c r="H51"/>
      <c r="I51"/>
      <c r="J51"/>
      <c r="K51" s="1">
        <f>IF(E51="FINALIZED",ROUND(F51+G51+H51+I51,0),0)</f>
        <v>240000</v>
      </c>
      <c r="L51" s="1">
        <f>IF(E51="FINALIZED",ROUND(F51+G51+H51+I51,0),0)</f>
        <v>240000</v>
      </c>
      <c r="M51" t="str">
        <v>PAYSLIP-2026-02</v>
      </c>
      <c r="N51" t="str">
        <v>STAGING-PROVISIONS-2026-R1</v>
      </c>
    </row>
    <row r="52">
      <c r="A52" t="str">
        <v>C05</v>
      </c>
      <c r="B52" t="str">
        <v>A</v>
      </c>
      <c r="C52">
        <v>2026</v>
      </c>
      <c r="D52">
        <v>3</v>
      </c>
      <c r="E52" t="str">
        <v>FINALIZED</v>
      </c>
      <c r="F52" t="n">
        <v>200000.0</v>
      </c>
      <c r="G52" t="n">
        <v>40000.0</v>
      </c>
      <c r="H52"/>
      <c r="I52"/>
      <c r="J52"/>
      <c r="K52" s="1">
        <f>IF(E52="FINALIZED",ROUND(F52+G52+H52+I52,0),0)</f>
        <v>240000</v>
      </c>
      <c r="L52" s="1">
        <f>IF(E52="FINALIZED",ROUND(F52+G52+H52+I52,0),0)</f>
        <v>240000</v>
      </c>
      <c r="M52" t="str">
        <v>PAYSLIP-2026-03</v>
      </c>
      <c r="N52" t="str">
        <v>STAGING-PROVISIONS-2026-R1</v>
      </c>
    </row>
    <row r="53">
      <c r="A53" t="str">
        <v>C05</v>
      </c>
      <c r="B53" t="str">
        <v>A</v>
      </c>
      <c r="C53">
        <v>2026</v>
      </c>
      <c r="D53">
        <v>4</v>
      </c>
      <c r="E53" t="str">
        <v>FINALIZED</v>
      </c>
      <c r="F53" t="n">
        <v>200000.0</v>
      </c>
      <c r="G53" t="n">
        <v>40000.0</v>
      </c>
      <c r="H53"/>
      <c r="I53"/>
      <c r="J53"/>
      <c r="K53" s="1">
        <f>IF(E53="FINALIZED",ROUND(F53+G53+H53+I53,0),0)</f>
        <v>240000</v>
      </c>
      <c r="L53" s="1">
        <f>IF(E53="FINALIZED",ROUND(F53+G53+H53+I53,0),0)</f>
        <v>240000</v>
      </c>
      <c r="M53" t="str">
        <v>PAYSLIP-2026-04</v>
      </c>
      <c r="N53" t="str">
        <v>STAGING-PROVISIONS-2026-R1</v>
      </c>
    </row>
    <row r="54">
      <c r="A54" t="str">
        <v>C05</v>
      </c>
      <c r="B54" t="str">
        <v>A</v>
      </c>
      <c r="C54">
        <v>2026</v>
      </c>
      <c r="D54">
        <v>5</v>
      </c>
      <c r="E54" t="str">
        <v>FINALIZED</v>
      </c>
      <c r="F54" t="n">
        <v>200000.0</v>
      </c>
      <c r="G54" t="n">
        <v>40000.0</v>
      </c>
      <c r="H54"/>
      <c r="I54"/>
      <c r="J54"/>
      <c r="K54" s="1">
        <f>IF(E54="FINALIZED",ROUND(F54+G54+H54+I54,0),0)</f>
        <v>240000</v>
      </c>
      <c r="L54" s="1">
        <f>IF(E54="FINALIZED",ROUND(F54+G54+H54+I54,0),0)</f>
        <v>240000</v>
      </c>
      <c r="M54" t="str">
        <v>PAYSLIP-2026-05</v>
      </c>
      <c r="N54" t="str">
        <v>STAGING-PROVISIONS-2026-R1</v>
      </c>
    </row>
    <row r="55">
      <c r="A55" t="str">
        <v>C05</v>
      </c>
      <c r="B55" t="str">
        <v>A</v>
      </c>
      <c r="C55">
        <v>2026</v>
      </c>
      <c r="D55">
        <v>6</v>
      </c>
      <c r="E55" t="str">
        <v>FINALIZED</v>
      </c>
      <c r="F55" t="n">
        <v>200000.0</v>
      </c>
      <c r="G55" t="n">
        <v>40000.0</v>
      </c>
      <c r="H55"/>
      <c r="I55"/>
      <c r="J55"/>
      <c r="K55" s="1">
        <f>IF(E55="FINALIZED",ROUND(F55+G55+H55+I55,0),0)</f>
        <v>240000</v>
      </c>
      <c r="L55" s="1">
        <f>IF(E55="FINALIZED",ROUND(F55+G55+H55+I55,0),0)</f>
        <v>240000</v>
      </c>
      <c r="M55" t="str">
        <v>PAYSLIP-2026-06</v>
      </c>
      <c r="N55" t="str">
        <v>STAGING-PROVISIONS-2026-R1</v>
      </c>
    </row>
    <row r="56">
      <c r="A56" t="str">
        <v>C05</v>
      </c>
      <c r="B56" t="str">
        <v>A</v>
      </c>
      <c r="C56">
        <v>2026</v>
      </c>
      <c r="D56">
        <v>7</v>
      </c>
      <c r="E56" t="str">
        <v>FINALIZED</v>
      </c>
      <c r="F56" t="n">
        <v>200000.0</v>
      </c>
      <c r="G56" t="n">
        <v>40000.0</v>
      </c>
      <c r="H56"/>
      <c r="I56"/>
      <c r="J56"/>
      <c r="K56" s="1">
        <f>IF(E56="FINALIZED",ROUND(F56+G56+H56+I56,0),0)</f>
        <v>240000</v>
      </c>
      <c r="L56" s="1">
        <f>IF(E56="FINALIZED",ROUND(F56+G56+H56+I56,0),0)</f>
        <v>240000</v>
      </c>
      <c r="M56" t="str">
        <v>PAYSLIP-2026-07</v>
      </c>
      <c r="N56" t="str">
        <v>STAGING-PROVISIONS-2026-R1</v>
      </c>
    </row>
    <row r="57">
      <c r="A57" t="str">
        <v>C05</v>
      </c>
      <c r="B57" t="str">
        <v>A</v>
      </c>
      <c r="C57">
        <v>2026</v>
      </c>
      <c r="D57">
        <v>8</v>
      </c>
      <c r="E57" t="str">
        <v>FINALIZED</v>
      </c>
      <c r="F57" t="n">
        <v>200000.0</v>
      </c>
      <c r="G57" t="n">
        <v>40000.0</v>
      </c>
      <c r="H57"/>
      <c r="I57"/>
      <c r="J57"/>
      <c r="K57" s="1">
        <f>IF(E57="FINALIZED",ROUND(F57+G57+H57+I57,0),0)</f>
        <v>240000</v>
      </c>
      <c r="L57" s="1">
        <f>IF(E57="FINALIZED",ROUND(F57+G57+H57+I57,0),0)</f>
        <v>240000</v>
      </c>
      <c r="M57" t="str">
        <v>PAYSLIP-2026-08</v>
      </c>
      <c r="N57" t="str">
        <v>STAGING-PROVISIONS-2026-R1</v>
      </c>
    </row>
    <row r="58">
      <c r="A58" t="str">
        <v>C05</v>
      </c>
      <c r="B58" t="str">
        <v>A</v>
      </c>
      <c r="C58">
        <v>2026</v>
      </c>
      <c r="D58">
        <v>9</v>
      </c>
      <c r="E58"/>
      <c r="F58"/>
      <c r="G58"/>
      <c r="H58"/>
      <c r="I58"/>
      <c r="J58"/>
      <c r="K58" s="1">
        <f>IF(E58="FINALIZED",ROUND(F58+G58+H58+I58,0),0)</f>
        <v>0</v>
      </c>
      <c r="L58" s="1">
        <f>IF(E58="FINALIZED",ROUND(F58+G58+H58+I58,0),0)</f>
        <v>0</v>
      </c>
      <c r="M58"/>
      <c r="N58"/>
    </row>
    <row r="59">
      <c r="A59" t="str">
        <v>C05</v>
      </c>
      <c r="B59" t="str">
        <v>A</v>
      </c>
      <c r="C59">
        <v>2026</v>
      </c>
      <c r="D59">
        <v>10</v>
      </c>
      <c r="E59"/>
      <c r="F59"/>
      <c r="G59"/>
      <c r="H59"/>
      <c r="I59"/>
      <c r="J59"/>
      <c r="K59" s="1">
        <f>IF(E59="FINALIZED",ROUND(F59+G59+H59+I59,0),0)</f>
        <v>0</v>
      </c>
      <c r="L59" s="1">
        <f>IF(E59="FINALIZED",ROUND(F59+G59+H59+I59,0),0)</f>
        <v>0</v>
      </c>
      <c r="M59"/>
      <c r="N59"/>
    </row>
    <row r="60">
      <c r="A60" t="str">
        <v>C05</v>
      </c>
      <c r="B60" t="str">
        <v>A</v>
      </c>
      <c r="C60">
        <v>2026</v>
      </c>
      <c r="D60">
        <v>11</v>
      </c>
      <c r="E60"/>
      <c r="F60"/>
      <c r="G60"/>
      <c r="H60"/>
      <c r="I60"/>
      <c r="J60"/>
      <c r="K60" s="1">
        <f>IF(E60="FINALIZED",ROUND(F60+G60+H60+I60,0),0)</f>
        <v>0</v>
      </c>
      <c r="L60" s="1">
        <f>IF(E60="FINALIZED",ROUND(F60+G60+H60+I60,0),0)</f>
        <v>0</v>
      </c>
      <c r="M60"/>
      <c r="N60"/>
    </row>
    <row r="61">
      <c r="A61" t="str">
        <v>C05</v>
      </c>
      <c r="B61" t="str">
        <v>A</v>
      </c>
      <c r="C61">
        <v>2026</v>
      </c>
      <c r="D61">
        <v>12</v>
      </c>
      <c r="E61"/>
      <c r="F61"/>
      <c r="G61"/>
      <c r="H61"/>
      <c r="I61"/>
      <c r="J61"/>
      <c r="K61" s="1">
        <f>IF(E61="FINALIZED",ROUND(F61+G61+H61+I61,0),0)</f>
        <v>0</v>
      </c>
      <c r="L61" s="1">
        <f>IF(E61="FINALIZED",ROUND(F61+G61+H61+I61,0),0)</f>
        <v>0</v>
      </c>
      <c r="M61"/>
      <c r="N61"/>
    </row>
    <row r="62">
      <c r="A62" t="str">
        <v>C06</v>
      </c>
      <c r="B62" t="str">
        <v>A</v>
      </c>
      <c r="C62">
        <v>2026</v>
      </c>
      <c r="D62">
        <v>1</v>
      </c>
      <c r="E62" t="str">
        <v>FINALIZED</v>
      </c>
      <c r="F62" t="n">
        <v>205000.0</v>
      </c>
      <c r="G62" t="n">
        <v>40000.0</v>
      </c>
      <c r="H62"/>
      <c r="I62"/>
      <c r="J62"/>
      <c r="K62" s="1">
        <f>IF(E62="FINALIZED",ROUND(F62+G62+H62+I62,0),0)</f>
        <v>245000</v>
      </c>
      <c r="L62" s="1">
        <f>IF(E62="FINALIZED",ROUND(F62+G62+H62+I62,0),0)</f>
        <v>245000</v>
      </c>
      <c r="M62" t="str">
        <v>PAYSLIP-2026-01</v>
      </c>
      <c r="N62" t="str">
        <v>STAGING-PROVISIONS-2026-R1</v>
      </c>
    </row>
    <row r="63">
      <c r="A63" t="str">
        <v>C06</v>
      </c>
      <c r="B63" t="str">
        <v>A</v>
      </c>
      <c r="C63">
        <v>2026</v>
      </c>
      <c r="D63">
        <v>2</v>
      </c>
      <c r="E63" t="str">
        <v>FINALIZED</v>
      </c>
      <c r="F63" t="n">
        <v>205000.0</v>
      </c>
      <c r="G63" t="n">
        <v>40000.0</v>
      </c>
      <c r="H63"/>
      <c r="I63"/>
      <c r="J63"/>
      <c r="K63" s="1">
        <f>IF(E63="FINALIZED",ROUND(F63+G63+H63+I63,0),0)</f>
        <v>245000</v>
      </c>
      <c r="L63" s="1">
        <f>IF(E63="FINALIZED",ROUND(F63+G63+H63+I63,0),0)</f>
        <v>245000</v>
      </c>
      <c r="M63" t="str">
        <v>PAYSLIP-2026-02</v>
      </c>
      <c r="N63" t="str">
        <v>STAGING-PROVISIONS-2026-R1</v>
      </c>
    </row>
    <row r="64">
      <c r="A64" t="str">
        <v>C06</v>
      </c>
      <c r="B64" t="str">
        <v>A</v>
      </c>
      <c r="C64">
        <v>2026</v>
      </c>
      <c r="D64">
        <v>3</v>
      </c>
      <c r="E64" t="str">
        <v>FINALIZED</v>
      </c>
      <c r="F64" t="n">
        <v>205000.0</v>
      </c>
      <c r="G64" t="n">
        <v>40000.0</v>
      </c>
      <c r="H64"/>
      <c r="I64"/>
      <c r="J64"/>
      <c r="K64" s="1">
        <f>IF(E64="FINALIZED",ROUND(F64+G64+H64+I64,0),0)</f>
        <v>245000</v>
      </c>
      <c r="L64" s="1">
        <f>IF(E64="FINALIZED",ROUND(F64+G64+H64+I64,0),0)</f>
        <v>245000</v>
      </c>
      <c r="M64" t="str">
        <v>PAYSLIP-2026-03</v>
      </c>
      <c r="N64" t="str">
        <v>STAGING-PROVISIONS-2026-R1</v>
      </c>
    </row>
    <row r="65">
      <c r="A65" t="str">
        <v>C06</v>
      </c>
      <c r="B65" t="str">
        <v>A</v>
      </c>
      <c r="C65">
        <v>2026</v>
      </c>
      <c r="D65">
        <v>4</v>
      </c>
      <c r="E65" t="str">
        <v>FINALIZED</v>
      </c>
      <c r="F65" t="n">
        <v>205000.0</v>
      </c>
      <c r="G65" t="n">
        <v>40000.0</v>
      </c>
      <c r="H65"/>
      <c r="I65"/>
      <c r="J65"/>
      <c r="K65" s="1">
        <f>IF(E65="FINALIZED",ROUND(F65+G65+H65+I65,0),0)</f>
        <v>245000</v>
      </c>
      <c r="L65" s="1">
        <f>IF(E65="FINALIZED",ROUND(F65+G65+H65+I65,0),0)</f>
        <v>245000</v>
      </c>
      <c r="M65" t="str">
        <v>PAYSLIP-2026-04</v>
      </c>
      <c r="N65" t="str">
        <v>STAGING-PROVISIONS-2026-R1</v>
      </c>
    </row>
    <row r="66">
      <c r="A66" t="str">
        <v>C06</v>
      </c>
      <c r="B66" t="str">
        <v>A</v>
      </c>
      <c r="C66">
        <v>2026</v>
      </c>
      <c r="D66">
        <v>5</v>
      </c>
      <c r="E66" t="str">
        <v>FINALIZED</v>
      </c>
      <c r="F66" t="n">
        <v>205000.0</v>
      </c>
      <c r="G66" t="n">
        <v>40000.0</v>
      </c>
      <c r="H66"/>
      <c r="I66"/>
      <c r="J66"/>
      <c r="K66" s="1">
        <f>IF(E66="FINALIZED",ROUND(F66+G66+H66+I66,0),0)</f>
        <v>245000</v>
      </c>
      <c r="L66" s="1">
        <f>IF(E66="FINALIZED",ROUND(F66+G66+H66+I66,0),0)</f>
        <v>245000</v>
      </c>
      <c r="M66" t="str">
        <v>PAYSLIP-2026-05</v>
      </c>
      <c r="N66" t="str">
        <v>STAGING-PROVISIONS-2026-R1</v>
      </c>
    </row>
    <row r="67">
      <c r="A67" t="str">
        <v>C06</v>
      </c>
      <c r="B67" t="str">
        <v>A</v>
      </c>
      <c r="C67">
        <v>2026</v>
      </c>
      <c r="D67">
        <v>6</v>
      </c>
      <c r="E67" t="str">
        <v>FINALIZED</v>
      </c>
      <c r="F67" t="n">
        <v>205000.0</v>
      </c>
      <c r="G67" t="n">
        <v>40000.0</v>
      </c>
      <c r="H67"/>
      <c r="I67"/>
      <c r="J67"/>
      <c r="K67" s="1">
        <f>IF(E67="FINALIZED",ROUND(F67+G67+H67+I67,0),0)</f>
        <v>245000</v>
      </c>
      <c r="L67" s="1">
        <f>IF(E67="FINALIZED",ROUND(F67+G67+H67+I67,0),0)</f>
        <v>245000</v>
      </c>
      <c r="M67" t="str">
        <v>PAYSLIP-2026-06</v>
      </c>
      <c r="N67" t="str">
        <v>STAGING-PROVISIONS-2026-R1</v>
      </c>
    </row>
    <row r="68">
      <c r="A68" t="str">
        <v>C06</v>
      </c>
      <c r="B68" t="str">
        <v>A</v>
      </c>
      <c r="C68">
        <v>2026</v>
      </c>
      <c r="D68">
        <v>7</v>
      </c>
      <c r="E68" t="str">
        <v>FINALIZED</v>
      </c>
      <c r="F68" t="n">
        <v>205000.0</v>
      </c>
      <c r="G68" t="n">
        <v>40000.0</v>
      </c>
      <c r="H68"/>
      <c r="I68"/>
      <c r="J68"/>
      <c r="K68" s="1">
        <f>IF(E68="FINALIZED",ROUND(F68+G68+H68+I68,0),0)</f>
        <v>245000</v>
      </c>
      <c r="L68" s="1">
        <f>IF(E68="FINALIZED",ROUND(F68+G68+H68+I68,0),0)</f>
        <v>245000</v>
      </c>
      <c r="M68" t="str">
        <v>PAYSLIP-2026-07</v>
      </c>
      <c r="N68" t="str">
        <v>STAGING-PROVISIONS-2026-R1</v>
      </c>
    </row>
    <row r="69">
      <c r="A69" t="str">
        <v>C06</v>
      </c>
      <c r="B69" t="str">
        <v>A</v>
      </c>
      <c r="C69">
        <v>2026</v>
      </c>
      <c r="D69">
        <v>8</v>
      </c>
      <c r="E69" t="str">
        <v>FINALIZED</v>
      </c>
      <c r="F69" t="n">
        <v>205000.0</v>
      </c>
      <c r="G69" t="n">
        <v>40000.0</v>
      </c>
      <c r="H69"/>
      <c r="I69"/>
      <c r="J69"/>
      <c r="K69" s="1">
        <f>IF(E69="FINALIZED",ROUND(F69+G69+H69+I69,0),0)</f>
        <v>245000</v>
      </c>
      <c r="L69" s="1">
        <f>IF(E69="FINALIZED",ROUND(F69+G69+H69+I69,0),0)</f>
        <v>245000</v>
      </c>
      <c r="M69" t="str">
        <v>PAYSLIP-2026-08</v>
      </c>
      <c r="N69" t="str">
        <v>STAGING-PROVISIONS-2026-R1</v>
      </c>
    </row>
    <row r="70">
      <c r="A70" t="str">
        <v>C06</v>
      </c>
      <c r="B70" t="str">
        <v>A</v>
      </c>
      <c r="C70">
        <v>2026</v>
      </c>
      <c r="D70">
        <v>9</v>
      </c>
      <c r="E70"/>
      <c r="F70"/>
      <c r="G70"/>
      <c r="H70"/>
      <c r="I70"/>
      <c r="J70"/>
      <c r="K70" s="1">
        <f>IF(E70="FINALIZED",ROUND(F70+G70+H70+I70,0),0)</f>
        <v>0</v>
      </c>
      <c r="L70" s="1">
        <f>IF(E70="FINALIZED",ROUND(F70+G70+H70+I70,0),0)</f>
        <v>0</v>
      </c>
      <c r="M70"/>
      <c r="N70"/>
    </row>
    <row r="71">
      <c r="A71" t="str">
        <v>C06</v>
      </c>
      <c r="B71" t="str">
        <v>A</v>
      </c>
      <c r="C71">
        <v>2026</v>
      </c>
      <c r="D71">
        <v>10</v>
      </c>
      <c r="E71"/>
      <c r="F71"/>
      <c r="G71"/>
      <c r="H71"/>
      <c r="I71"/>
      <c r="J71"/>
      <c r="K71" s="1">
        <f>IF(E71="FINALIZED",ROUND(F71+G71+H71+I71,0),0)</f>
        <v>0</v>
      </c>
      <c r="L71" s="1">
        <f>IF(E71="FINALIZED",ROUND(F71+G71+H71+I71,0),0)</f>
        <v>0</v>
      </c>
      <c r="M71"/>
      <c r="N71"/>
    </row>
    <row r="72">
      <c r="A72" t="str">
        <v>C06</v>
      </c>
      <c r="B72" t="str">
        <v>A</v>
      </c>
      <c r="C72">
        <v>2026</v>
      </c>
      <c r="D72">
        <v>11</v>
      </c>
      <c r="E72"/>
      <c r="F72"/>
      <c r="G72"/>
      <c r="H72"/>
      <c r="I72"/>
      <c r="J72"/>
      <c r="K72" s="1">
        <f>IF(E72="FINALIZED",ROUND(F72+G72+H72+I72,0),0)</f>
        <v>0</v>
      </c>
      <c r="L72" s="1">
        <f>IF(E72="FINALIZED",ROUND(F72+G72+H72+I72,0),0)</f>
        <v>0</v>
      </c>
      <c r="M72"/>
      <c r="N72"/>
    </row>
    <row r="73">
      <c r="A73" t="str">
        <v>C06</v>
      </c>
      <c r="B73" t="str">
        <v>A</v>
      </c>
      <c r="C73">
        <v>2026</v>
      </c>
      <c r="D73">
        <v>12</v>
      </c>
      <c r="E73"/>
      <c r="F73"/>
      <c r="G73"/>
      <c r="H73"/>
      <c r="I73"/>
      <c r="J73"/>
      <c r="K73" s="1">
        <f>IF(E73="FINALIZED",ROUND(F73+G73+H73+I73,0),0)</f>
        <v>0</v>
      </c>
      <c r="L73" s="1">
        <f>IF(E73="FINALIZED",ROUND(F73+G73+H73+I73,0),0)</f>
        <v>0</v>
      </c>
      <c r="M73"/>
      <c r="N73"/>
    </row>
    <row r="74">
      <c r="A74" t="str">
        <v>C07</v>
      </c>
      <c r="B74" t="str">
        <v>A</v>
      </c>
      <c r="C74">
        <v>2026</v>
      </c>
      <c r="D74">
        <v>1</v>
      </c>
      <c r="E74" t="str">
        <v>FINALIZED</v>
      </c>
      <c r="F74" t="n">
        <v>210000.0</v>
      </c>
      <c r="G74" t="n">
        <v>40000.0</v>
      </c>
      <c r="H74"/>
      <c r="I74"/>
      <c r="J74"/>
      <c r="K74" s="1">
        <f>IF(E74="FINALIZED",ROUND(F74+G74+H74+I74,0),0)</f>
        <v>250000</v>
      </c>
      <c r="L74" s="1">
        <f>IF(E74="FINALIZED",ROUND(F74+G74+H74+I74,0),0)</f>
        <v>250000</v>
      </c>
      <c r="M74" t="str">
        <v>PAYSLIP-2026-01</v>
      </c>
      <c r="N74" t="str">
        <v>STAGING-PROVISIONS-2026-R1</v>
      </c>
    </row>
    <row r="75">
      <c r="A75" t="str">
        <v>C07</v>
      </c>
      <c r="B75" t="str">
        <v>A</v>
      </c>
      <c r="C75">
        <v>2026</v>
      </c>
      <c r="D75">
        <v>2</v>
      </c>
      <c r="E75" t="str">
        <v>FINALIZED</v>
      </c>
      <c r="F75" t="n">
        <v>210000.0</v>
      </c>
      <c r="G75" t="n">
        <v>40000.0</v>
      </c>
      <c r="H75"/>
      <c r="I75"/>
      <c r="J75"/>
      <c r="K75" s="1">
        <f>IF(E75="FINALIZED",ROUND(F75+G75+H75+I75,0),0)</f>
        <v>250000</v>
      </c>
      <c r="L75" s="1">
        <f>IF(E75="FINALIZED",ROUND(F75+G75+H75+I75,0),0)</f>
        <v>250000</v>
      </c>
      <c r="M75" t="str">
        <v>PAYSLIP-2026-02</v>
      </c>
      <c r="N75" t="str">
        <v>STAGING-PROVISIONS-2026-R1</v>
      </c>
    </row>
    <row r="76">
      <c r="A76" t="str">
        <v>C07</v>
      </c>
      <c r="B76" t="str">
        <v>A</v>
      </c>
      <c r="C76">
        <v>2026</v>
      </c>
      <c r="D76">
        <v>3</v>
      </c>
      <c r="E76" t="str">
        <v>FINALIZED</v>
      </c>
      <c r="F76" t="n">
        <v>210000.0</v>
      </c>
      <c r="G76" t="n">
        <v>40000.0</v>
      </c>
      <c r="H76"/>
      <c r="I76"/>
      <c r="J76"/>
      <c r="K76" s="1">
        <f>IF(E76="FINALIZED",ROUND(F76+G76+H76+I76,0),0)</f>
        <v>250000</v>
      </c>
      <c r="L76" s="1">
        <f>IF(E76="FINALIZED",ROUND(F76+G76+H76+I76,0),0)</f>
        <v>250000</v>
      </c>
      <c r="M76" t="str">
        <v>PAYSLIP-2026-03</v>
      </c>
      <c r="N76" t="str">
        <v>STAGING-PROVISIONS-2026-R1</v>
      </c>
    </row>
    <row r="77">
      <c r="A77" t="str">
        <v>C07</v>
      </c>
      <c r="B77" t="str">
        <v>A</v>
      </c>
      <c r="C77">
        <v>2026</v>
      </c>
      <c r="D77">
        <v>4</v>
      </c>
      <c r="E77" t="str">
        <v>FINALIZED</v>
      </c>
      <c r="F77" t="n">
        <v>210000.0</v>
      </c>
      <c r="G77" t="n">
        <v>40000.0</v>
      </c>
      <c r="H77"/>
      <c r="I77"/>
      <c r="J77"/>
      <c r="K77" s="1">
        <f>IF(E77="FINALIZED",ROUND(F77+G77+H77+I77,0),0)</f>
        <v>250000</v>
      </c>
      <c r="L77" s="1">
        <f>IF(E77="FINALIZED",ROUND(F77+G77+H77+I77,0),0)</f>
        <v>250000</v>
      </c>
      <c r="M77" t="str">
        <v>PAYSLIP-2026-04</v>
      </c>
      <c r="N77" t="str">
        <v>STAGING-PROVISIONS-2026-R1</v>
      </c>
    </row>
    <row r="78">
      <c r="A78" t="str">
        <v>C07</v>
      </c>
      <c r="B78" t="str">
        <v>A</v>
      </c>
      <c r="C78">
        <v>2026</v>
      </c>
      <c r="D78">
        <v>5</v>
      </c>
      <c r="E78" t="str">
        <v>FINALIZED</v>
      </c>
      <c r="F78" t="n">
        <v>210000.0</v>
      </c>
      <c r="G78" t="n">
        <v>40000.0</v>
      </c>
      <c r="H78"/>
      <c r="I78"/>
      <c r="J78"/>
      <c r="K78" s="1">
        <f>IF(E78="FINALIZED",ROUND(F78+G78+H78+I78,0),0)</f>
        <v>250000</v>
      </c>
      <c r="L78" s="1">
        <f>IF(E78="FINALIZED",ROUND(F78+G78+H78+I78,0),0)</f>
        <v>250000</v>
      </c>
      <c r="M78" t="str">
        <v>PAYSLIP-2026-05</v>
      </c>
      <c r="N78" t="str">
        <v>STAGING-PROVISIONS-2026-R1</v>
      </c>
    </row>
    <row r="79">
      <c r="A79" t="str">
        <v>C07</v>
      </c>
      <c r="B79" t="str">
        <v>A</v>
      </c>
      <c r="C79">
        <v>2026</v>
      </c>
      <c r="D79">
        <v>6</v>
      </c>
      <c r="E79" t="str">
        <v>FINALIZED</v>
      </c>
      <c r="F79" t="n">
        <v>210000.0</v>
      </c>
      <c r="G79" t="n">
        <v>40000.0</v>
      </c>
      <c r="H79"/>
      <c r="I79"/>
      <c r="J79"/>
      <c r="K79" s="1">
        <f>IF(E79="FINALIZED",ROUND(F79+G79+H79+I79,0),0)</f>
        <v>250000</v>
      </c>
      <c r="L79" s="1">
        <f>IF(E79="FINALIZED",ROUND(F79+G79+H79+I79,0),0)</f>
        <v>250000</v>
      </c>
      <c r="M79" t="str">
        <v>PAYSLIP-2026-06</v>
      </c>
      <c r="N79" t="str">
        <v>STAGING-PROVISIONS-2026-R1</v>
      </c>
    </row>
    <row r="80">
      <c r="A80" t="str">
        <v>C07</v>
      </c>
      <c r="B80" t="str">
        <v>A</v>
      </c>
      <c r="C80">
        <v>2026</v>
      </c>
      <c r="D80">
        <v>7</v>
      </c>
      <c r="E80" t="str">
        <v>FINALIZED</v>
      </c>
      <c r="F80" t="n">
        <v>210000.0</v>
      </c>
      <c r="G80" t="n">
        <v>40000.0</v>
      </c>
      <c r="H80"/>
      <c r="I80"/>
      <c r="J80"/>
      <c r="K80" s="1">
        <f>IF(E80="FINALIZED",ROUND(F80+G80+H80+I80,0),0)</f>
        <v>250000</v>
      </c>
      <c r="L80" s="1">
        <f>IF(E80="FINALIZED",ROUND(F80+G80+H80+I80,0),0)</f>
        <v>250000</v>
      </c>
      <c r="M80" t="str">
        <v>PAYSLIP-2026-07</v>
      </c>
      <c r="N80" t="str">
        <v>STAGING-PROVISIONS-2026-R1</v>
      </c>
    </row>
    <row r="81">
      <c r="A81" t="str">
        <v>C07</v>
      </c>
      <c r="B81" t="str">
        <v>A</v>
      </c>
      <c r="C81">
        <v>2026</v>
      </c>
      <c r="D81">
        <v>8</v>
      </c>
      <c r="E81" t="str">
        <v>FINALIZED</v>
      </c>
      <c r="F81" t="n">
        <v>210000.0</v>
      </c>
      <c r="G81" t="n">
        <v>40000.0</v>
      </c>
      <c r="H81"/>
      <c r="I81"/>
      <c r="J81"/>
      <c r="K81" s="1">
        <f>IF(E81="FINALIZED",ROUND(F81+G81+H81+I81,0),0)</f>
        <v>250000</v>
      </c>
      <c r="L81" s="1">
        <f>IF(E81="FINALIZED",ROUND(F81+G81+H81+I81,0),0)</f>
        <v>250000</v>
      </c>
      <c r="M81" t="str">
        <v>PAYSLIP-2026-08</v>
      </c>
      <c r="N81" t="str">
        <v>STAGING-PROVISIONS-2026-R1</v>
      </c>
    </row>
    <row r="82">
      <c r="A82" t="str">
        <v>C07</v>
      </c>
      <c r="B82" t="str">
        <v>A</v>
      </c>
      <c r="C82">
        <v>2026</v>
      </c>
      <c r="D82">
        <v>9</v>
      </c>
      <c r="E82"/>
      <c r="F82"/>
      <c r="G82"/>
      <c r="H82"/>
      <c r="I82"/>
      <c r="J82"/>
      <c r="K82" s="1">
        <f>IF(E82="FINALIZED",ROUND(F82+G82+H82+I82,0),0)</f>
        <v>0</v>
      </c>
      <c r="L82" s="1">
        <f>IF(E82="FINALIZED",ROUND(F82+G82+H82+I82,0),0)</f>
        <v>0</v>
      </c>
      <c r="M82"/>
      <c r="N82"/>
    </row>
    <row r="83">
      <c r="A83" t="str">
        <v>C07</v>
      </c>
      <c r="B83" t="str">
        <v>A</v>
      </c>
      <c r="C83">
        <v>2026</v>
      </c>
      <c r="D83">
        <v>10</v>
      </c>
      <c r="E83"/>
      <c r="F83"/>
      <c r="G83"/>
      <c r="H83"/>
      <c r="I83"/>
      <c r="J83"/>
      <c r="K83" s="1">
        <f>IF(E83="FINALIZED",ROUND(F83+G83+H83+I83,0),0)</f>
        <v>0</v>
      </c>
      <c r="L83" s="1">
        <f>IF(E83="FINALIZED",ROUND(F83+G83+H83+I83,0),0)</f>
        <v>0</v>
      </c>
      <c r="M83"/>
      <c r="N83"/>
    </row>
    <row r="84">
      <c r="A84" t="str">
        <v>C07</v>
      </c>
      <c r="B84" t="str">
        <v>A</v>
      </c>
      <c r="C84">
        <v>2026</v>
      </c>
      <c r="D84">
        <v>11</v>
      </c>
      <c r="E84"/>
      <c r="F84"/>
      <c r="G84"/>
      <c r="H84"/>
      <c r="I84"/>
      <c r="J84"/>
      <c r="K84" s="1">
        <f>IF(E84="FINALIZED",ROUND(F84+G84+H84+I84,0),0)</f>
        <v>0</v>
      </c>
      <c r="L84" s="1">
        <f>IF(E84="FINALIZED",ROUND(F84+G84+H84+I84,0),0)</f>
        <v>0</v>
      </c>
      <c r="M84"/>
      <c r="N84"/>
    </row>
    <row r="85">
      <c r="A85" t="str">
        <v>C07</v>
      </c>
      <c r="B85" t="str">
        <v>A</v>
      </c>
      <c r="C85">
        <v>2026</v>
      </c>
      <c r="D85">
        <v>12</v>
      </c>
      <c r="E85"/>
      <c r="F85"/>
      <c r="G85"/>
      <c r="H85"/>
      <c r="I85"/>
      <c r="J85"/>
      <c r="K85" s="1">
        <f>IF(E85="FINALIZED",ROUND(F85+G85+H85+I85,0),0)</f>
        <v>0</v>
      </c>
      <c r="L85" s="1">
        <f>IF(E85="FINALIZED",ROUND(F85+G85+H85+I85,0),0)</f>
        <v>0</v>
      </c>
      <c r="M85"/>
      <c r="N85"/>
    </row>
    <row r="86">
      <c r="A86" t="str">
        <v>C08</v>
      </c>
      <c r="B86" t="str">
        <v>A</v>
      </c>
      <c r="C86">
        <v>2026</v>
      </c>
      <c r="D86">
        <v>1</v>
      </c>
      <c r="E86" t="str">
        <v>FINALIZED</v>
      </c>
      <c r="F86" t="n">
        <v>215000.0</v>
      </c>
      <c r="G86" t="n">
        <v>40000.0</v>
      </c>
      <c r="H86"/>
      <c r="I86"/>
      <c r="J86"/>
      <c r="K86" s="1">
        <f>IF(E86="FINALIZED",ROUND(F86+G86+H86+I86,0),0)</f>
        <v>255000</v>
      </c>
      <c r="L86" s="1">
        <f>IF(E86="FINALIZED",ROUND(F86+G86+H86+I86,0),0)</f>
        <v>255000</v>
      </c>
      <c r="M86" t="str">
        <v>PAYSLIP-2026-01</v>
      </c>
      <c r="N86" t="str">
        <v>STAGING-PROVISIONS-2026-R1</v>
      </c>
    </row>
    <row r="87">
      <c r="A87" t="str">
        <v>C08</v>
      </c>
      <c r="B87" t="str">
        <v>A</v>
      </c>
      <c r="C87">
        <v>2026</v>
      </c>
      <c r="D87">
        <v>2</v>
      </c>
      <c r="E87" t="str">
        <v>FINALIZED</v>
      </c>
      <c r="F87" t="n">
        <v>215000.0</v>
      </c>
      <c r="G87" t="n">
        <v>40000.0</v>
      </c>
      <c r="H87"/>
      <c r="I87"/>
      <c r="J87"/>
      <c r="K87" s="1">
        <f>IF(E87="FINALIZED",ROUND(F87+G87+H87+I87,0),0)</f>
        <v>255000</v>
      </c>
      <c r="L87" s="1">
        <f>IF(E87="FINALIZED",ROUND(F87+G87+H87+I87,0),0)</f>
        <v>255000</v>
      </c>
      <c r="M87" t="str">
        <v>PAYSLIP-2026-02</v>
      </c>
      <c r="N87" t="str">
        <v>STAGING-PROVISIONS-2026-R1</v>
      </c>
    </row>
    <row r="88">
      <c r="A88" t="str">
        <v>C08</v>
      </c>
      <c r="B88" t="str">
        <v>A</v>
      </c>
      <c r="C88">
        <v>2026</v>
      </c>
      <c r="D88">
        <v>3</v>
      </c>
      <c r="E88" t="str">
        <v>FINALIZED</v>
      </c>
      <c r="F88" t="n">
        <v>215000.0</v>
      </c>
      <c r="G88" t="n">
        <v>40000.0</v>
      </c>
      <c r="H88"/>
      <c r="I88"/>
      <c r="J88"/>
      <c r="K88" s="1">
        <f>IF(E88="FINALIZED",ROUND(F88+G88+H88+I88,0),0)</f>
        <v>255000</v>
      </c>
      <c r="L88" s="1">
        <f>IF(E88="FINALIZED",ROUND(F88+G88+H88+I88,0),0)</f>
        <v>255000</v>
      </c>
      <c r="M88" t="str">
        <v>PAYSLIP-2026-03</v>
      </c>
      <c r="N88" t="str">
        <v>STAGING-PROVISIONS-2026-R1</v>
      </c>
    </row>
    <row r="89">
      <c r="A89" t="str">
        <v>C08</v>
      </c>
      <c r="B89" t="str">
        <v>A</v>
      </c>
      <c r="C89">
        <v>2026</v>
      </c>
      <c r="D89">
        <v>4</v>
      </c>
      <c r="E89" t="str">
        <v>FINALIZED</v>
      </c>
      <c r="F89" t="n">
        <v>215000.0</v>
      </c>
      <c r="G89" t="n">
        <v>40000.0</v>
      </c>
      <c r="H89"/>
      <c r="I89"/>
      <c r="J89"/>
      <c r="K89" s="1">
        <f>IF(E89="FINALIZED",ROUND(F89+G89+H89+I89,0),0)</f>
        <v>255000</v>
      </c>
      <c r="L89" s="1">
        <f>IF(E89="FINALIZED",ROUND(F89+G89+H89+I89,0),0)</f>
        <v>255000</v>
      </c>
      <c r="M89" t="str">
        <v>PAYSLIP-2026-04</v>
      </c>
      <c r="N89" t="str">
        <v>STAGING-PROVISIONS-2026-R1</v>
      </c>
    </row>
    <row r="90">
      <c r="A90" t="str">
        <v>C08</v>
      </c>
      <c r="B90" t="str">
        <v>A</v>
      </c>
      <c r="C90">
        <v>2026</v>
      </c>
      <c r="D90">
        <v>5</v>
      </c>
      <c r="E90" t="str">
        <v>FINALIZED</v>
      </c>
      <c r="F90" t="n">
        <v>215000.0</v>
      </c>
      <c r="G90" t="n">
        <v>40000.0</v>
      </c>
      <c r="H90"/>
      <c r="I90"/>
      <c r="J90"/>
      <c r="K90" s="1">
        <f>IF(E90="FINALIZED",ROUND(F90+G90+H90+I90,0),0)</f>
        <v>255000</v>
      </c>
      <c r="L90" s="1">
        <f>IF(E90="FINALIZED",ROUND(F90+G90+H90+I90,0),0)</f>
        <v>255000</v>
      </c>
      <c r="M90" t="str">
        <v>PAYSLIP-2026-05</v>
      </c>
      <c r="N90" t="str">
        <v>STAGING-PROVISIONS-2026-R1</v>
      </c>
    </row>
    <row r="91">
      <c r="A91" t="str">
        <v>C08</v>
      </c>
      <c r="B91" t="str">
        <v>A</v>
      </c>
      <c r="C91">
        <v>2026</v>
      </c>
      <c r="D91">
        <v>6</v>
      </c>
      <c r="E91" t="str">
        <v>FINALIZED</v>
      </c>
      <c r="F91" t="n">
        <v>215000.0</v>
      </c>
      <c r="G91" t="n">
        <v>40000.0</v>
      </c>
      <c r="H91"/>
      <c r="I91"/>
      <c r="J91"/>
      <c r="K91" s="1">
        <f>IF(E91="FINALIZED",ROUND(F91+G91+H91+I91,0),0)</f>
        <v>255000</v>
      </c>
      <c r="L91" s="1">
        <f>IF(E91="FINALIZED",ROUND(F91+G91+H91+I91,0),0)</f>
        <v>255000</v>
      </c>
      <c r="M91" t="str">
        <v>PAYSLIP-2026-06</v>
      </c>
      <c r="N91" t="str">
        <v>STAGING-PROVISIONS-2026-R1</v>
      </c>
    </row>
    <row r="92">
      <c r="A92" t="str">
        <v>C08</v>
      </c>
      <c r="B92" t="str">
        <v>A</v>
      </c>
      <c r="C92">
        <v>2026</v>
      </c>
      <c r="D92">
        <v>7</v>
      </c>
      <c r="E92" t="str">
        <v>FINALIZED</v>
      </c>
      <c r="F92" t="n">
        <v>215000.0</v>
      </c>
      <c r="G92" t="n">
        <v>40000.0</v>
      </c>
      <c r="H92"/>
      <c r="I92"/>
      <c r="J92"/>
      <c r="K92" s="1">
        <f>IF(E92="FINALIZED",ROUND(F92+G92+H92+I92,0),0)</f>
        <v>255000</v>
      </c>
      <c r="L92" s="1">
        <f>IF(E92="FINALIZED",ROUND(F92+G92+H92+I92,0),0)</f>
        <v>255000</v>
      </c>
      <c r="M92" t="str">
        <v>PAYSLIP-2026-07</v>
      </c>
      <c r="N92" t="str">
        <v>STAGING-PROVISIONS-2026-R1</v>
      </c>
    </row>
    <row r="93">
      <c r="A93" t="str">
        <v>C08</v>
      </c>
      <c r="B93" t="str">
        <v>A</v>
      </c>
      <c r="C93">
        <v>2026</v>
      </c>
      <c r="D93">
        <v>8</v>
      </c>
      <c r="E93" t="str">
        <v>FINALIZED</v>
      </c>
      <c r="F93" t="n">
        <v>215000.0</v>
      </c>
      <c r="G93" t="n">
        <v>40000.0</v>
      </c>
      <c r="H93"/>
      <c r="I93"/>
      <c r="J93"/>
      <c r="K93" s="1">
        <f>IF(E93="FINALIZED",ROUND(F93+G93+H93+I93,0),0)</f>
        <v>255000</v>
      </c>
      <c r="L93" s="1">
        <f>IF(E93="FINALIZED",ROUND(F93+G93+H93+I93,0),0)</f>
        <v>255000</v>
      </c>
      <c r="M93" t="str">
        <v>PAYSLIP-2026-08</v>
      </c>
      <c r="N93" t="str">
        <v>STAGING-PROVISIONS-2026-R1</v>
      </c>
    </row>
    <row r="94">
      <c r="A94" t="str">
        <v>C08</v>
      </c>
      <c r="B94" t="str">
        <v>A</v>
      </c>
      <c r="C94">
        <v>2026</v>
      </c>
      <c r="D94">
        <v>9</v>
      </c>
      <c r="E94"/>
      <c r="F94"/>
      <c r="G94"/>
      <c r="H94"/>
      <c r="I94"/>
      <c r="J94"/>
      <c r="K94" s="1">
        <f>IF(E94="FINALIZED",ROUND(F94+G94+H94+I94,0),0)</f>
        <v>0</v>
      </c>
      <c r="L94" s="1">
        <f>IF(E94="FINALIZED",ROUND(F94+G94+H94+I94,0),0)</f>
        <v>0</v>
      </c>
      <c r="M94"/>
      <c r="N94"/>
    </row>
    <row r="95">
      <c r="A95" t="str">
        <v>C08</v>
      </c>
      <c r="B95" t="str">
        <v>A</v>
      </c>
      <c r="C95">
        <v>2026</v>
      </c>
      <c r="D95">
        <v>10</v>
      </c>
      <c r="E95"/>
      <c r="F95"/>
      <c r="G95"/>
      <c r="H95"/>
      <c r="I95"/>
      <c r="J95"/>
      <c r="K95" s="1">
        <f>IF(E95="FINALIZED",ROUND(F95+G95+H95+I95,0),0)</f>
        <v>0</v>
      </c>
      <c r="L95" s="1">
        <f>IF(E95="FINALIZED",ROUND(F95+G95+H95+I95,0),0)</f>
        <v>0</v>
      </c>
      <c r="M95"/>
      <c r="N95"/>
    </row>
    <row r="96">
      <c r="A96" t="str">
        <v>C08</v>
      </c>
      <c r="B96" t="str">
        <v>A</v>
      </c>
      <c r="C96">
        <v>2026</v>
      </c>
      <c r="D96">
        <v>11</v>
      </c>
      <c r="E96"/>
      <c r="F96"/>
      <c r="G96"/>
      <c r="H96"/>
      <c r="I96"/>
      <c r="J96"/>
      <c r="K96" s="1">
        <f>IF(E96="FINALIZED",ROUND(F96+G96+H96+I96,0),0)</f>
        <v>0</v>
      </c>
      <c r="L96" s="1">
        <f>IF(E96="FINALIZED",ROUND(F96+G96+H96+I96,0),0)</f>
        <v>0</v>
      </c>
      <c r="M96"/>
      <c r="N96"/>
    </row>
    <row r="97">
      <c r="A97" t="str">
        <v>C08</v>
      </c>
      <c r="B97" t="str">
        <v>A</v>
      </c>
      <c r="C97">
        <v>2026</v>
      </c>
      <c r="D97">
        <v>12</v>
      </c>
      <c r="E97"/>
      <c r="F97"/>
      <c r="G97"/>
      <c r="H97"/>
      <c r="I97"/>
      <c r="J97"/>
      <c r="K97" s="1">
        <f>IF(E97="FINALIZED",ROUND(F97+G97+H97+I97,0),0)</f>
        <v>0</v>
      </c>
      <c r="L97" s="1">
        <f>IF(E97="FINALIZED",ROUND(F97+G97+H97+I97,0),0)</f>
        <v>0</v>
      </c>
      <c r="M97"/>
      <c r="N97"/>
    </row>
    <row r="98">
      <c r="A98" t="str">
        <v>C09</v>
      </c>
      <c r="B98" t="str">
        <v>A</v>
      </c>
      <c r="C98">
        <v>2026</v>
      </c>
      <c r="D98">
        <v>1</v>
      </c>
      <c r="E98" t="str">
        <v>FINALIZED</v>
      </c>
      <c r="F98" t="n">
        <v>220000.0</v>
      </c>
      <c r="G98" t="n">
        <v>40000.0</v>
      </c>
      <c r="H98"/>
      <c r="I98"/>
      <c r="J98"/>
      <c r="K98" s="1">
        <f>IF(E98="FINALIZED",ROUND(F98+G98+H98+I98,0),0)</f>
        <v>260000</v>
      </c>
      <c r="L98" s="1">
        <f>IF(E98="FINALIZED",ROUND(F98+G98+H98+I98,0),0)</f>
        <v>260000</v>
      </c>
      <c r="M98" t="str">
        <v>PAYSLIP-2026-01</v>
      </c>
      <c r="N98" t="str">
        <v>STAGING-PROVISIONS-2026-R1</v>
      </c>
    </row>
    <row r="99">
      <c r="A99" t="str">
        <v>C09</v>
      </c>
      <c r="B99" t="str">
        <v>A</v>
      </c>
      <c r="C99">
        <v>2026</v>
      </c>
      <c r="D99">
        <v>2</v>
      </c>
      <c r="E99" t="str">
        <v>FINALIZED</v>
      </c>
      <c r="F99" t="n">
        <v>220000.0</v>
      </c>
      <c r="G99" t="n">
        <v>40000.0</v>
      </c>
      <c r="H99"/>
      <c r="I99"/>
      <c r="J99"/>
      <c r="K99" s="1">
        <f>IF(E99="FINALIZED",ROUND(F99+G99+H99+I99,0),0)</f>
        <v>260000</v>
      </c>
      <c r="L99" s="1">
        <f>IF(E99="FINALIZED",ROUND(F99+G99+H99+I99,0),0)</f>
        <v>260000</v>
      </c>
      <c r="M99" t="str">
        <v>PAYSLIP-2026-02</v>
      </c>
      <c r="N99" t="str">
        <v>STAGING-PROVISIONS-2026-R1</v>
      </c>
    </row>
    <row r="100">
      <c r="A100" t="str">
        <v>C09</v>
      </c>
      <c r="B100" t="str">
        <v>A</v>
      </c>
      <c r="C100">
        <v>2026</v>
      </c>
      <c r="D100">
        <v>3</v>
      </c>
      <c r="E100" t="str">
        <v>FINALIZED</v>
      </c>
      <c r="F100" t="n">
        <v>220000.0</v>
      </c>
      <c r="G100" t="n">
        <v>40000.0</v>
      </c>
      <c r="H100"/>
      <c r="I100"/>
      <c r="J100"/>
      <c r="K100" s="1">
        <f>IF(E100="FINALIZED",ROUND(F100+G100+H100+I100,0),0)</f>
        <v>260000</v>
      </c>
      <c r="L100" s="1">
        <f>IF(E100="FINALIZED",ROUND(F100+G100+H100+I100,0),0)</f>
        <v>260000</v>
      </c>
      <c r="M100" t="str">
        <v>PAYSLIP-2026-03</v>
      </c>
      <c r="N100" t="str">
        <v>STAGING-PROVISIONS-2026-R1</v>
      </c>
    </row>
    <row r="101">
      <c r="A101" t="str">
        <v>C09</v>
      </c>
      <c r="B101" t="str">
        <v>A</v>
      </c>
      <c r="C101">
        <v>2026</v>
      </c>
      <c r="D101">
        <v>4</v>
      </c>
      <c r="E101" t="str">
        <v>FINALIZED</v>
      </c>
      <c r="F101" t="n">
        <v>220000.0</v>
      </c>
      <c r="G101" t="n">
        <v>40000.0</v>
      </c>
      <c r="H101"/>
      <c r="I101"/>
      <c r="J101"/>
      <c r="K101" s="1">
        <f>IF(E101="FINALIZED",ROUND(F101+G101+H101+I101,0),0)</f>
        <v>260000</v>
      </c>
      <c r="L101" s="1">
        <f>IF(E101="FINALIZED",ROUND(F101+G101+H101+I101,0),0)</f>
        <v>260000</v>
      </c>
      <c r="M101" t="str">
        <v>PAYSLIP-2026-04</v>
      </c>
      <c r="N101" t="str">
        <v>STAGING-PROVISIONS-2026-R1</v>
      </c>
    </row>
    <row r="102">
      <c r="A102" t="str">
        <v>C09</v>
      </c>
      <c r="B102" t="str">
        <v>A</v>
      </c>
      <c r="C102">
        <v>2026</v>
      </c>
      <c r="D102">
        <v>5</v>
      </c>
      <c r="E102" t="str">
        <v>FINALIZED</v>
      </c>
      <c r="F102" t="n">
        <v>220000.0</v>
      </c>
      <c r="G102" t="n">
        <v>40000.0</v>
      </c>
      <c r="H102"/>
      <c r="I102"/>
      <c r="J102"/>
      <c r="K102" s="1">
        <f>IF(E102="FINALIZED",ROUND(F102+G102+H102+I102,0),0)</f>
        <v>260000</v>
      </c>
      <c r="L102" s="1">
        <f>IF(E102="FINALIZED",ROUND(F102+G102+H102+I102,0),0)</f>
        <v>260000</v>
      </c>
      <c r="M102" t="str">
        <v>PAYSLIP-2026-05</v>
      </c>
      <c r="N102" t="str">
        <v>STAGING-PROVISIONS-2026-R1</v>
      </c>
    </row>
    <row r="103">
      <c r="A103" t="str">
        <v>C09</v>
      </c>
      <c r="B103" t="str">
        <v>A</v>
      </c>
      <c r="C103">
        <v>2026</v>
      </c>
      <c r="D103">
        <v>6</v>
      </c>
      <c r="E103" t="str">
        <v>FINALIZED</v>
      </c>
      <c r="F103" t="n">
        <v>220000.0</v>
      </c>
      <c r="G103" t="n">
        <v>40000.0</v>
      </c>
      <c r="H103"/>
      <c r="I103"/>
      <c r="J103"/>
      <c r="K103" s="1">
        <f>IF(E103="FINALIZED",ROUND(F103+G103+H103+I103,0),0)</f>
        <v>260000</v>
      </c>
      <c r="L103" s="1">
        <f>IF(E103="FINALIZED",ROUND(F103+G103+H103+I103,0),0)</f>
        <v>260000</v>
      </c>
      <c r="M103" t="str">
        <v>PAYSLIP-2026-06</v>
      </c>
      <c r="N103" t="str">
        <v>STAGING-PROVISIONS-2026-R1</v>
      </c>
    </row>
    <row r="104">
      <c r="A104" t="str">
        <v>C09</v>
      </c>
      <c r="B104" t="str">
        <v>A</v>
      </c>
      <c r="C104">
        <v>2026</v>
      </c>
      <c r="D104">
        <v>7</v>
      </c>
      <c r="E104" t="str">
        <v>FINALIZED</v>
      </c>
      <c r="F104" t="n">
        <v>220000.0</v>
      </c>
      <c r="G104" t="n">
        <v>40000.0</v>
      </c>
      <c r="H104"/>
      <c r="I104"/>
      <c r="J104"/>
      <c r="K104" s="1">
        <f>IF(E104="FINALIZED",ROUND(F104+G104+H104+I104,0),0)</f>
        <v>260000</v>
      </c>
      <c r="L104" s="1">
        <f>IF(E104="FINALIZED",ROUND(F104+G104+H104+I104,0),0)</f>
        <v>260000</v>
      </c>
      <c r="M104" t="str">
        <v>PAYSLIP-2026-07</v>
      </c>
      <c r="N104" t="str">
        <v>STAGING-PROVISIONS-2026-R1</v>
      </c>
    </row>
    <row r="105">
      <c r="A105" t="str">
        <v>C09</v>
      </c>
      <c r="B105" t="str">
        <v>A</v>
      </c>
      <c r="C105">
        <v>2026</v>
      </c>
      <c r="D105">
        <v>8</v>
      </c>
      <c r="E105" t="str">
        <v>FINALIZED</v>
      </c>
      <c r="F105" t="n">
        <v>220000.0</v>
      </c>
      <c r="G105" t="n">
        <v>40000.0</v>
      </c>
      <c r="H105"/>
      <c r="I105"/>
      <c r="J105"/>
      <c r="K105" s="1">
        <f>IF(E105="FINALIZED",ROUND(F105+G105+H105+I105,0),0)</f>
        <v>260000</v>
      </c>
      <c r="L105" s="1">
        <f>IF(E105="FINALIZED",ROUND(F105+G105+H105+I105,0),0)</f>
        <v>260000</v>
      </c>
      <c r="M105" t="str">
        <v>PAYSLIP-2026-08</v>
      </c>
      <c r="N105" t="str">
        <v>STAGING-PROVISIONS-2026-R1</v>
      </c>
    </row>
    <row r="106">
      <c r="A106" t="str">
        <v>C09</v>
      </c>
      <c r="B106" t="str">
        <v>A</v>
      </c>
      <c r="C106">
        <v>2026</v>
      </c>
      <c r="D106">
        <v>9</v>
      </c>
      <c r="E106"/>
      <c r="F106"/>
      <c r="G106"/>
      <c r="H106"/>
      <c r="I106"/>
      <c r="J106"/>
      <c r="K106" s="1">
        <f>IF(E106="FINALIZED",ROUND(F106+G106+H106+I106,0),0)</f>
        <v>0</v>
      </c>
      <c r="L106" s="1">
        <f>IF(E106="FINALIZED",ROUND(F106+G106+H106+I106,0),0)</f>
        <v>0</v>
      </c>
      <c r="M106"/>
      <c r="N106"/>
    </row>
    <row r="107">
      <c r="A107" t="str">
        <v>C09</v>
      </c>
      <c r="B107" t="str">
        <v>A</v>
      </c>
      <c r="C107">
        <v>2026</v>
      </c>
      <c r="D107">
        <v>10</v>
      </c>
      <c r="E107"/>
      <c r="F107"/>
      <c r="G107"/>
      <c r="H107"/>
      <c r="I107"/>
      <c r="J107"/>
      <c r="K107" s="1">
        <f>IF(E107="FINALIZED",ROUND(F107+G107+H107+I107,0),0)</f>
        <v>0</v>
      </c>
      <c r="L107" s="1">
        <f>IF(E107="FINALIZED",ROUND(F107+G107+H107+I107,0),0)</f>
        <v>0</v>
      </c>
      <c r="M107"/>
      <c r="N107"/>
    </row>
    <row r="108">
      <c r="A108" t="str">
        <v>C09</v>
      </c>
      <c r="B108" t="str">
        <v>A</v>
      </c>
      <c r="C108">
        <v>2026</v>
      </c>
      <c r="D108">
        <v>11</v>
      </c>
      <c r="E108"/>
      <c r="F108"/>
      <c r="G108"/>
      <c r="H108"/>
      <c r="I108"/>
      <c r="J108"/>
      <c r="K108" s="1">
        <f>IF(E108="FINALIZED",ROUND(F108+G108+H108+I108,0),0)</f>
        <v>0</v>
      </c>
      <c r="L108" s="1">
        <f>IF(E108="FINALIZED",ROUND(F108+G108+H108+I108,0),0)</f>
        <v>0</v>
      </c>
      <c r="M108"/>
      <c r="N108"/>
    </row>
    <row r="109">
      <c r="A109" t="str">
        <v>C09</v>
      </c>
      <c r="B109" t="str">
        <v>A</v>
      </c>
      <c r="C109">
        <v>2026</v>
      </c>
      <c r="D109">
        <v>12</v>
      </c>
      <c r="E109"/>
      <c r="F109"/>
      <c r="G109"/>
      <c r="H109"/>
      <c r="I109"/>
      <c r="J109"/>
      <c r="K109" s="1">
        <f>IF(E109="FINALIZED",ROUND(F109+G109+H109+I109,0),0)</f>
        <v>0</v>
      </c>
      <c r="L109" s="1">
        <f>IF(E109="FINALIZED",ROUND(F109+G109+H109+I109,0),0)</f>
        <v>0</v>
      </c>
      <c r="M109"/>
      <c r="N109"/>
    </row>
    <row r="110">
      <c r="A110" t="str">
        <v>C10</v>
      </c>
      <c r="B110" t="str">
        <v>A</v>
      </c>
      <c r="C110">
        <v>2026</v>
      </c>
      <c r="D110">
        <v>1</v>
      </c>
      <c r="E110" t="str">
        <v>FINALIZED</v>
      </c>
      <c r="F110" t="n">
        <v>225000.0</v>
      </c>
      <c r="G110" t="n">
        <v>40000.0</v>
      </c>
      <c r="H110"/>
      <c r="I110"/>
      <c r="J110"/>
      <c r="K110" s="1">
        <f>IF(E110="FINALIZED",ROUND(F110+G110+H110+I110,0),0)</f>
        <v>265000</v>
      </c>
      <c r="L110" s="1">
        <f>IF(E110="FINALIZED",ROUND(F110+G110+H110+I110,0),0)</f>
        <v>265000</v>
      </c>
      <c r="M110" t="str">
        <v>PAYSLIP-2026-01</v>
      </c>
      <c r="N110" t="str">
        <v>STAGING-PROVISIONS-2026-R1</v>
      </c>
    </row>
    <row r="111">
      <c r="A111" t="str">
        <v>C10</v>
      </c>
      <c r="B111" t="str">
        <v>A</v>
      </c>
      <c r="C111">
        <v>2026</v>
      </c>
      <c r="D111">
        <v>2</v>
      </c>
      <c r="E111" t="str">
        <v>FINALIZED</v>
      </c>
      <c r="F111" t="n">
        <v>225000.0</v>
      </c>
      <c r="G111" t="n">
        <v>40000.0</v>
      </c>
      <c r="H111"/>
      <c r="I111"/>
      <c r="J111"/>
      <c r="K111" s="1">
        <f>IF(E111="FINALIZED",ROUND(F111+G111+H111+I111,0),0)</f>
        <v>265000</v>
      </c>
      <c r="L111" s="1">
        <f>IF(E111="FINALIZED",ROUND(F111+G111+H111+I111,0),0)</f>
        <v>265000</v>
      </c>
      <c r="M111" t="str">
        <v>PAYSLIP-2026-02</v>
      </c>
      <c r="N111" t="str">
        <v>STAGING-PROVISIONS-2026-R1</v>
      </c>
    </row>
    <row r="112">
      <c r="A112" t="str">
        <v>C10</v>
      </c>
      <c r="B112" t="str">
        <v>A</v>
      </c>
      <c r="C112">
        <v>2026</v>
      </c>
      <c r="D112">
        <v>3</v>
      </c>
      <c r="E112" t="str">
        <v>FINALIZED</v>
      </c>
      <c r="F112" t="n">
        <v>225000.0</v>
      </c>
      <c r="G112" t="n">
        <v>40000.0</v>
      </c>
      <c r="H112"/>
      <c r="I112"/>
      <c r="J112"/>
      <c r="K112" s="1">
        <f>IF(E112="FINALIZED",ROUND(F112+G112+H112+I112,0),0)</f>
        <v>265000</v>
      </c>
      <c r="L112" s="1">
        <f>IF(E112="FINALIZED",ROUND(F112+G112+H112+I112,0),0)</f>
        <v>265000</v>
      </c>
      <c r="M112" t="str">
        <v>PAYSLIP-2026-03</v>
      </c>
      <c r="N112" t="str">
        <v>STAGING-PROVISIONS-2026-R1</v>
      </c>
    </row>
    <row r="113">
      <c r="A113" t="str">
        <v>C10</v>
      </c>
      <c r="B113" t="str">
        <v>A</v>
      </c>
      <c r="C113">
        <v>2026</v>
      </c>
      <c r="D113">
        <v>4</v>
      </c>
      <c r="E113" t="str">
        <v>FINALIZED</v>
      </c>
      <c r="F113" t="n">
        <v>225000.0</v>
      </c>
      <c r="G113" t="n">
        <v>40000.0</v>
      </c>
      <c r="H113"/>
      <c r="I113"/>
      <c r="J113"/>
      <c r="K113" s="1">
        <f>IF(E113="FINALIZED",ROUND(F113+G113+H113+I113,0),0)</f>
        <v>265000</v>
      </c>
      <c r="L113" s="1">
        <f>IF(E113="FINALIZED",ROUND(F113+G113+H113+I113,0),0)</f>
        <v>265000</v>
      </c>
      <c r="M113" t="str">
        <v>PAYSLIP-2026-04</v>
      </c>
      <c r="N113" t="str">
        <v>STAGING-PROVISIONS-2026-R1</v>
      </c>
    </row>
    <row r="114">
      <c r="A114" t="str">
        <v>C10</v>
      </c>
      <c r="B114" t="str">
        <v>A</v>
      </c>
      <c r="C114">
        <v>2026</v>
      </c>
      <c r="D114">
        <v>5</v>
      </c>
      <c r="E114" t="str">
        <v>FINALIZED</v>
      </c>
      <c r="F114" t="n">
        <v>225000.0</v>
      </c>
      <c r="G114" t="n">
        <v>40000.0</v>
      </c>
      <c r="H114"/>
      <c r="I114"/>
      <c r="J114"/>
      <c r="K114" s="1">
        <f>IF(E114="FINALIZED",ROUND(F114+G114+H114+I114,0),0)</f>
        <v>265000</v>
      </c>
      <c r="L114" s="1">
        <f>IF(E114="FINALIZED",ROUND(F114+G114+H114+I114,0),0)</f>
        <v>265000</v>
      </c>
      <c r="M114" t="str">
        <v>PAYSLIP-2026-05</v>
      </c>
      <c r="N114" t="str">
        <v>STAGING-PROVISIONS-2026-R1</v>
      </c>
    </row>
    <row r="115">
      <c r="A115" t="str">
        <v>C10</v>
      </c>
      <c r="B115" t="str">
        <v>A</v>
      </c>
      <c r="C115">
        <v>2026</v>
      </c>
      <c r="D115">
        <v>6</v>
      </c>
      <c r="E115" t="str">
        <v>FINALIZED</v>
      </c>
      <c r="F115" t="n">
        <v>225000.0</v>
      </c>
      <c r="G115" t="n">
        <v>40000.0</v>
      </c>
      <c r="H115"/>
      <c r="I115"/>
      <c r="J115"/>
      <c r="K115" s="1">
        <f>IF(E115="FINALIZED",ROUND(F115+G115+H115+I115,0),0)</f>
        <v>265000</v>
      </c>
      <c r="L115" s="1">
        <f>IF(E115="FINALIZED",ROUND(F115+G115+H115+I115,0),0)</f>
        <v>265000</v>
      </c>
      <c r="M115" t="str">
        <v>PAYSLIP-2026-06</v>
      </c>
      <c r="N115" t="str">
        <v>STAGING-PROVISIONS-2026-R1</v>
      </c>
    </row>
    <row r="116">
      <c r="A116" t="str">
        <v>C10</v>
      </c>
      <c r="B116" t="str">
        <v>A</v>
      </c>
      <c r="C116">
        <v>2026</v>
      </c>
      <c r="D116">
        <v>7</v>
      </c>
      <c r="E116" t="str">
        <v>FINALIZED</v>
      </c>
      <c r="F116" t="n">
        <v>225000.0</v>
      </c>
      <c r="G116" t="n">
        <v>40000.0</v>
      </c>
      <c r="H116"/>
      <c r="I116"/>
      <c r="J116"/>
      <c r="K116" s="1">
        <f>IF(E116="FINALIZED",ROUND(F116+G116+H116+I116,0),0)</f>
        <v>265000</v>
      </c>
      <c r="L116" s="1">
        <f>IF(E116="FINALIZED",ROUND(F116+G116+H116+I116,0),0)</f>
        <v>265000</v>
      </c>
      <c r="M116" t="str">
        <v>PAYSLIP-2026-07</v>
      </c>
      <c r="N116" t="str">
        <v>STAGING-PROVISIONS-2026-R1</v>
      </c>
    </row>
    <row r="117">
      <c r="A117" t="str">
        <v>C10</v>
      </c>
      <c r="B117" t="str">
        <v>A</v>
      </c>
      <c r="C117">
        <v>2026</v>
      </c>
      <c r="D117">
        <v>8</v>
      </c>
      <c r="E117" t="str">
        <v>FINALIZED</v>
      </c>
      <c r="F117" t="n">
        <v>225000.0</v>
      </c>
      <c r="G117" t="n">
        <v>40000.0</v>
      </c>
      <c r="H117"/>
      <c r="I117"/>
      <c r="J117"/>
      <c r="K117" s="1">
        <f>IF(E117="FINALIZED",ROUND(F117+G117+H117+I117,0),0)</f>
        <v>265000</v>
      </c>
      <c r="L117" s="1">
        <f>IF(E117="FINALIZED",ROUND(F117+G117+H117+I117,0),0)</f>
        <v>265000</v>
      </c>
      <c r="M117" t="str">
        <v>PAYSLIP-2026-08</v>
      </c>
      <c r="N117" t="str">
        <v>STAGING-PROVISIONS-2026-R1</v>
      </c>
    </row>
    <row r="118">
      <c r="A118" t="str">
        <v>C10</v>
      </c>
      <c r="B118" t="str">
        <v>A</v>
      </c>
      <c r="C118">
        <v>2026</v>
      </c>
      <c r="D118">
        <v>9</v>
      </c>
      <c r="E118"/>
      <c r="F118"/>
      <c r="G118"/>
      <c r="H118"/>
      <c r="I118"/>
      <c r="J118"/>
      <c r="K118" s="1">
        <f>IF(E118="FINALIZED",ROUND(F118+G118+H118+I118,0),0)</f>
        <v>0</v>
      </c>
      <c r="L118" s="1">
        <f>IF(E118="FINALIZED",ROUND(F118+G118+H118+I118,0),0)</f>
        <v>0</v>
      </c>
      <c r="M118"/>
      <c r="N118"/>
    </row>
    <row r="119">
      <c r="A119" t="str">
        <v>C10</v>
      </c>
      <c r="B119" t="str">
        <v>A</v>
      </c>
      <c r="C119">
        <v>2026</v>
      </c>
      <c r="D119">
        <v>10</v>
      </c>
      <c r="E119"/>
      <c r="F119"/>
      <c r="G119"/>
      <c r="H119"/>
      <c r="I119"/>
      <c r="J119"/>
      <c r="K119" s="1">
        <f>IF(E119="FINALIZED",ROUND(F119+G119+H119+I119,0),0)</f>
        <v>0</v>
      </c>
      <c r="L119" s="1">
        <f>IF(E119="FINALIZED",ROUND(F119+G119+H119+I119,0),0)</f>
        <v>0</v>
      </c>
      <c r="M119"/>
      <c r="N119"/>
    </row>
    <row r="120">
      <c r="A120" t="str">
        <v>C10</v>
      </c>
      <c r="B120" t="str">
        <v>A</v>
      </c>
      <c r="C120">
        <v>2026</v>
      </c>
      <c r="D120">
        <v>11</v>
      </c>
      <c r="E120"/>
      <c r="F120"/>
      <c r="G120"/>
      <c r="H120"/>
      <c r="I120"/>
      <c r="J120"/>
      <c r="K120" s="1">
        <f>IF(E120="FINALIZED",ROUND(F120+G120+H120+I120,0),0)</f>
        <v>0</v>
      </c>
      <c r="L120" s="1">
        <f>IF(E120="FINALIZED",ROUND(F120+G120+H120+I120,0),0)</f>
        <v>0</v>
      </c>
      <c r="M120"/>
      <c r="N120"/>
    </row>
    <row r="121">
      <c r="A121" t="str">
        <v>C10</v>
      </c>
      <c r="B121" t="str">
        <v>A</v>
      </c>
      <c r="C121">
        <v>2026</v>
      </c>
      <c r="D121">
        <v>12</v>
      </c>
      <c r="E121"/>
      <c r="F121"/>
      <c r="G121"/>
      <c r="H121"/>
      <c r="I121"/>
      <c r="J121"/>
      <c r="K121" s="1">
        <f>IF(E121="FINALIZED",ROUND(F121+G121+H121+I121,0),0)</f>
        <v>0</v>
      </c>
      <c r="L121" s="1">
        <f>IF(E121="FINALIZED",ROUND(F121+G121+H121+I121,0),0)</f>
        <v>0</v>
      </c>
      <c r="M121"/>
      <c r="N121"/>
    </row>
    <row r="122">
      <c r="A122" t="str">
        <v>C11</v>
      </c>
      <c r="B122" t="str">
        <v>A</v>
      </c>
      <c r="C122">
        <v>2026</v>
      </c>
      <c r="D122">
        <v>1</v>
      </c>
      <c r="E122" t="str">
        <v>FINALIZED</v>
      </c>
      <c r="F122" t="n">
        <v>230000.0</v>
      </c>
      <c r="G122" t="n">
        <v>50000.0</v>
      </c>
      <c r="H122"/>
      <c r="I122"/>
      <c r="J122"/>
      <c r="K122" s="1">
        <f>IF(E122="FINALIZED",ROUND(F122+G122+H122+I122,0),0)</f>
        <v>280000</v>
      </c>
      <c r="L122" s="1">
        <f>IF(E122="FINALIZED",ROUND(F122+G122+H122+I122,0),0)</f>
        <v>280000</v>
      </c>
      <c r="M122" t="str">
        <v>PAYSLIP-2026-01</v>
      </c>
      <c r="N122" t="str">
        <v>STAGING-PROVISIONS-2026-R1</v>
      </c>
    </row>
    <row r="123">
      <c r="A123" t="str">
        <v>C11</v>
      </c>
      <c r="B123" t="str">
        <v>A</v>
      </c>
      <c r="C123">
        <v>2026</v>
      </c>
      <c r="D123">
        <v>2</v>
      </c>
      <c r="E123" t="str">
        <v>FINALIZED</v>
      </c>
      <c r="F123" t="n">
        <v>230000.0</v>
      </c>
      <c r="G123" t="n">
        <v>50000.0</v>
      </c>
      <c r="H123"/>
      <c r="I123"/>
      <c r="J123"/>
      <c r="K123" s="1">
        <f>IF(E123="FINALIZED",ROUND(F123+G123+H123+I123,0),0)</f>
        <v>280000</v>
      </c>
      <c r="L123" s="1">
        <f>IF(E123="FINALIZED",ROUND(F123+G123+H123+I123,0),0)</f>
        <v>280000</v>
      </c>
      <c r="M123" t="str">
        <v>PAYSLIP-2026-02</v>
      </c>
      <c r="N123" t="str">
        <v>STAGING-PROVISIONS-2026-R1</v>
      </c>
    </row>
    <row r="124">
      <c r="A124" t="str">
        <v>C11</v>
      </c>
      <c r="B124" t="str">
        <v>A</v>
      </c>
      <c r="C124">
        <v>2026</v>
      </c>
      <c r="D124">
        <v>3</v>
      </c>
      <c r="E124" t="str">
        <v>FINALIZED</v>
      </c>
      <c r="F124" t="n">
        <v>230000.0</v>
      </c>
      <c r="G124" t="n">
        <v>50000.0</v>
      </c>
      <c r="H124"/>
      <c r="I124"/>
      <c r="J124"/>
      <c r="K124" s="1">
        <f>IF(E124="FINALIZED",ROUND(F124+G124+H124+I124,0),0)</f>
        <v>280000</v>
      </c>
      <c r="L124" s="1">
        <f>IF(E124="FINALIZED",ROUND(F124+G124+H124+I124,0),0)</f>
        <v>280000</v>
      </c>
      <c r="M124" t="str">
        <v>PAYSLIP-2026-03</v>
      </c>
      <c r="N124" t="str">
        <v>STAGING-PROVISIONS-2026-R1</v>
      </c>
    </row>
    <row r="125">
      <c r="A125" t="str">
        <v>C11</v>
      </c>
      <c r="B125" t="str">
        <v>A</v>
      </c>
      <c r="C125">
        <v>2026</v>
      </c>
      <c r="D125">
        <v>4</v>
      </c>
      <c r="E125" t="str">
        <v>FINALIZED</v>
      </c>
      <c r="F125" t="n">
        <v>230000.0</v>
      </c>
      <c r="G125" t="n">
        <v>50000.0</v>
      </c>
      <c r="H125"/>
      <c r="I125"/>
      <c r="J125"/>
      <c r="K125" s="1">
        <f>IF(E125="FINALIZED",ROUND(F125+G125+H125+I125,0),0)</f>
        <v>280000</v>
      </c>
      <c r="L125" s="1">
        <f>IF(E125="FINALIZED",ROUND(F125+G125+H125+I125,0),0)</f>
        <v>280000</v>
      </c>
      <c r="M125" t="str">
        <v>PAYSLIP-2026-04</v>
      </c>
      <c r="N125" t="str">
        <v>STAGING-PROVISIONS-2026-R1</v>
      </c>
    </row>
    <row r="126">
      <c r="A126" t="str">
        <v>C11</v>
      </c>
      <c r="B126" t="str">
        <v>A</v>
      </c>
      <c r="C126">
        <v>2026</v>
      </c>
      <c r="D126">
        <v>5</v>
      </c>
      <c r="E126" t="str">
        <v>FINALIZED</v>
      </c>
      <c r="F126" t="n">
        <v>230000.0</v>
      </c>
      <c r="G126" t="n">
        <v>50000.0</v>
      </c>
      <c r="H126"/>
      <c r="I126"/>
      <c r="J126"/>
      <c r="K126" s="1">
        <f>IF(E126="FINALIZED",ROUND(F126+G126+H126+I126,0),0)</f>
        <v>280000</v>
      </c>
      <c r="L126" s="1">
        <f>IF(E126="FINALIZED",ROUND(F126+G126+H126+I126,0),0)</f>
        <v>280000</v>
      </c>
      <c r="M126" t="str">
        <v>PAYSLIP-2026-05</v>
      </c>
      <c r="N126" t="str">
        <v>STAGING-PROVISIONS-2026-R1</v>
      </c>
    </row>
    <row r="127">
      <c r="A127" t="str">
        <v>C11</v>
      </c>
      <c r="B127" t="str">
        <v>A</v>
      </c>
      <c r="C127">
        <v>2026</v>
      </c>
      <c r="D127">
        <v>6</v>
      </c>
      <c r="E127" t="str">
        <v>FINALIZED</v>
      </c>
      <c r="F127" t="n">
        <v>230000.0</v>
      </c>
      <c r="G127" t="n">
        <v>50000.0</v>
      </c>
      <c r="H127"/>
      <c r="I127"/>
      <c r="J127"/>
      <c r="K127" s="1">
        <f>IF(E127="FINALIZED",ROUND(F127+G127+H127+I127,0),0)</f>
        <v>280000</v>
      </c>
      <c r="L127" s="1">
        <f>IF(E127="FINALIZED",ROUND(F127+G127+H127+I127,0),0)</f>
        <v>280000</v>
      </c>
      <c r="M127" t="str">
        <v>PAYSLIP-2026-06</v>
      </c>
      <c r="N127" t="str">
        <v>STAGING-PROVISIONS-2026-R1</v>
      </c>
    </row>
    <row r="128">
      <c r="A128" t="str">
        <v>C11</v>
      </c>
      <c r="B128" t="str">
        <v>A</v>
      </c>
      <c r="C128">
        <v>2026</v>
      </c>
      <c r="D128">
        <v>7</v>
      </c>
      <c r="E128" t="str">
        <v>FINALIZED</v>
      </c>
      <c r="F128" t="n">
        <v>230000.0</v>
      </c>
      <c r="G128" t="n">
        <v>50000.0</v>
      </c>
      <c r="H128"/>
      <c r="I128"/>
      <c r="J128"/>
      <c r="K128" s="1">
        <f>IF(E128="FINALIZED",ROUND(F128+G128+H128+I128,0),0)</f>
        <v>280000</v>
      </c>
      <c r="L128" s="1">
        <f>IF(E128="FINALIZED",ROUND(F128+G128+H128+I128,0),0)</f>
        <v>280000</v>
      </c>
      <c r="M128" t="str">
        <v>PAYSLIP-2026-07</v>
      </c>
      <c r="N128" t="str">
        <v>STAGING-PROVISIONS-2026-R1</v>
      </c>
    </row>
    <row r="129">
      <c r="A129" t="str">
        <v>C11</v>
      </c>
      <c r="B129" t="str">
        <v>A</v>
      </c>
      <c r="C129">
        <v>2026</v>
      </c>
      <c r="D129">
        <v>8</v>
      </c>
      <c r="E129" t="str">
        <v>FINALIZED</v>
      </c>
      <c r="F129" t="n">
        <v>230000.0</v>
      </c>
      <c r="G129" t="n">
        <v>50000.0</v>
      </c>
      <c r="H129"/>
      <c r="I129"/>
      <c r="J129"/>
      <c r="K129" s="1">
        <f>IF(E129="FINALIZED",ROUND(F129+G129+H129+I129,0),0)</f>
        <v>280000</v>
      </c>
      <c r="L129" s="1">
        <f>IF(E129="FINALIZED",ROUND(F129+G129+H129+I129,0),0)</f>
        <v>280000</v>
      </c>
      <c r="M129" t="str">
        <v>PAYSLIP-2026-08</v>
      </c>
      <c r="N129" t="str">
        <v>STAGING-PROVISIONS-2026-R1</v>
      </c>
    </row>
    <row r="130">
      <c r="A130" t="str">
        <v>C11</v>
      </c>
      <c r="B130" t="str">
        <v>A</v>
      </c>
      <c r="C130">
        <v>2026</v>
      </c>
      <c r="D130">
        <v>9</v>
      </c>
      <c r="E130"/>
      <c r="F130"/>
      <c r="G130"/>
      <c r="H130"/>
      <c r="I130"/>
      <c r="J130"/>
      <c r="K130" s="1">
        <f>IF(E130="FINALIZED",ROUND(F130+G130+H130+I130,0),0)</f>
        <v>0</v>
      </c>
      <c r="L130" s="1">
        <f>IF(E130="FINALIZED",ROUND(F130+G130+H130+I130,0),0)</f>
        <v>0</v>
      </c>
      <c r="M130"/>
      <c r="N130"/>
    </row>
    <row r="131">
      <c r="A131" t="str">
        <v>C11</v>
      </c>
      <c r="B131" t="str">
        <v>A</v>
      </c>
      <c r="C131">
        <v>2026</v>
      </c>
      <c r="D131">
        <v>10</v>
      </c>
      <c r="E131"/>
      <c r="F131"/>
      <c r="G131"/>
      <c r="H131"/>
      <c r="I131"/>
      <c r="J131"/>
      <c r="K131" s="1">
        <f>IF(E131="FINALIZED",ROUND(F131+G131+H131+I131,0),0)</f>
        <v>0</v>
      </c>
      <c r="L131" s="1">
        <f>IF(E131="FINALIZED",ROUND(F131+G131+H131+I131,0),0)</f>
        <v>0</v>
      </c>
      <c r="M131"/>
      <c r="N131"/>
    </row>
    <row r="132">
      <c r="A132" t="str">
        <v>C11</v>
      </c>
      <c r="B132" t="str">
        <v>A</v>
      </c>
      <c r="C132">
        <v>2026</v>
      </c>
      <c r="D132">
        <v>11</v>
      </c>
      <c r="E132"/>
      <c r="F132"/>
      <c r="G132"/>
      <c r="H132"/>
      <c r="I132"/>
      <c r="J132"/>
      <c r="K132" s="1">
        <f>IF(E132="FINALIZED",ROUND(F132+G132+H132+I132,0),0)</f>
        <v>0</v>
      </c>
      <c r="L132" s="1">
        <f>IF(E132="FINALIZED",ROUND(F132+G132+H132+I132,0),0)</f>
        <v>0</v>
      </c>
      <c r="M132"/>
      <c r="N132"/>
    </row>
    <row r="133">
      <c r="A133" t="str">
        <v>C11</v>
      </c>
      <c r="B133" t="str">
        <v>A</v>
      </c>
      <c r="C133">
        <v>2026</v>
      </c>
      <c r="D133">
        <v>12</v>
      </c>
      <c r="E133"/>
      <c r="F133"/>
      <c r="G133"/>
      <c r="H133"/>
      <c r="I133"/>
      <c r="J133"/>
      <c r="K133" s="1">
        <f>IF(E133="FINALIZED",ROUND(F133+G133+H133+I133,0),0)</f>
        <v>0</v>
      </c>
      <c r="L133" s="1">
        <f>IF(E133="FINALIZED",ROUND(F133+G133+H133+I133,0),0)</f>
        <v>0</v>
      </c>
      <c r="M133"/>
      <c r="N133"/>
    </row>
    <row r="134">
      <c r="A134" t="str">
        <v>C12</v>
      </c>
      <c r="B134" t="str">
        <v>A</v>
      </c>
      <c r="C134">
        <v>2026</v>
      </c>
      <c r="D134">
        <v>1</v>
      </c>
      <c r="E134" t="str">
        <v>FINALIZED</v>
      </c>
      <c r="F134" t="n">
        <v>235000.0</v>
      </c>
      <c r="G134" t="n">
        <v>50000.0</v>
      </c>
      <c r="H134"/>
      <c r="I134"/>
      <c r="J134"/>
      <c r="K134" s="1">
        <f>IF(E134="FINALIZED",ROUND(F134+G134+H134+I134,0),0)</f>
        <v>285000</v>
      </c>
      <c r="L134" s="1">
        <f>IF(E134="FINALIZED",ROUND(F134+G134+H134+I134,0),0)</f>
        <v>285000</v>
      </c>
      <c r="M134" t="str">
        <v>PAYSLIP-2026-01</v>
      </c>
      <c r="N134" t="str">
        <v>STAGING-PROVISIONS-2026-R1</v>
      </c>
    </row>
    <row r="135">
      <c r="A135" t="str">
        <v>C12</v>
      </c>
      <c r="B135" t="str">
        <v>A</v>
      </c>
      <c r="C135">
        <v>2026</v>
      </c>
      <c r="D135">
        <v>2</v>
      </c>
      <c r="E135" t="str">
        <v>FINALIZED</v>
      </c>
      <c r="F135" t="n">
        <v>235000.0</v>
      </c>
      <c r="G135" t="n">
        <v>50000.0</v>
      </c>
      <c r="H135"/>
      <c r="I135"/>
      <c r="J135"/>
      <c r="K135" s="1">
        <f>IF(E135="FINALIZED",ROUND(F135+G135+H135+I135,0),0)</f>
        <v>285000</v>
      </c>
      <c r="L135" s="1">
        <f>IF(E135="FINALIZED",ROUND(F135+G135+H135+I135,0),0)</f>
        <v>285000</v>
      </c>
      <c r="M135" t="str">
        <v>PAYSLIP-2026-02</v>
      </c>
      <c r="N135" t="str">
        <v>STAGING-PROVISIONS-2026-R1</v>
      </c>
    </row>
    <row r="136">
      <c r="A136" t="str">
        <v>C12</v>
      </c>
      <c r="B136" t="str">
        <v>A</v>
      </c>
      <c r="C136">
        <v>2026</v>
      </c>
      <c r="D136">
        <v>3</v>
      </c>
      <c r="E136" t="str">
        <v>FINALIZED</v>
      </c>
      <c r="F136" t="n">
        <v>235000.0</v>
      </c>
      <c r="G136" t="n">
        <v>50000.0</v>
      </c>
      <c r="H136"/>
      <c r="I136"/>
      <c r="J136"/>
      <c r="K136" s="1">
        <f>IF(E136="FINALIZED",ROUND(F136+G136+H136+I136,0),0)</f>
        <v>285000</v>
      </c>
      <c r="L136" s="1">
        <f>IF(E136="FINALIZED",ROUND(F136+G136+H136+I136,0),0)</f>
        <v>285000</v>
      </c>
      <c r="M136" t="str">
        <v>PAYSLIP-2026-03</v>
      </c>
      <c r="N136" t="str">
        <v>STAGING-PROVISIONS-2026-R1</v>
      </c>
    </row>
    <row r="137">
      <c r="A137" t="str">
        <v>C12</v>
      </c>
      <c r="B137" t="str">
        <v>A</v>
      </c>
      <c r="C137">
        <v>2026</v>
      </c>
      <c r="D137">
        <v>4</v>
      </c>
      <c r="E137" t="str">
        <v>FINALIZED</v>
      </c>
      <c r="F137" t="n">
        <v>235000.0</v>
      </c>
      <c r="G137" t="n">
        <v>50000.0</v>
      </c>
      <c r="H137"/>
      <c r="I137"/>
      <c r="J137"/>
      <c r="K137" s="1">
        <f>IF(E137="FINALIZED",ROUND(F137+G137+H137+I137,0),0)</f>
        <v>285000</v>
      </c>
      <c r="L137" s="1">
        <f>IF(E137="FINALIZED",ROUND(F137+G137+H137+I137,0),0)</f>
        <v>285000</v>
      </c>
      <c r="M137" t="str">
        <v>PAYSLIP-2026-04</v>
      </c>
      <c r="N137" t="str">
        <v>STAGING-PROVISIONS-2026-R1</v>
      </c>
    </row>
    <row r="138">
      <c r="A138" t="str">
        <v>C12</v>
      </c>
      <c r="B138" t="str">
        <v>A</v>
      </c>
      <c r="C138">
        <v>2026</v>
      </c>
      <c r="D138">
        <v>5</v>
      </c>
      <c r="E138" t="str">
        <v>FINALIZED</v>
      </c>
      <c r="F138" t="n">
        <v>235000.0</v>
      </c>
      <c r="G138" t="n">
        <v>50000.0</v>
      </c>
      <c r="H138"/>
      <c r="I138"/>
      <c r="J138"/>
      <c r="K138" s="1">
        <f>IF(E138="FINALIZED",ROUND(F138+G138+H138+I138,0),0)</f>
        <v>285000</v>
      </c>
      <c r="L138" s="1">
        <f>IF(E138="FINALIZED",ROUND(F138+G138+H138+I138,0),0)</f>
        <v>285000</v>
      </c>
      <c r="M138" t="str">
        <v>PAYSLIP-2026-05</v>
      </c>
      <c r="N138" t="str">
        <v>STAGING-PROVISIONS-2026-R1</v>
      </c>
    </row>
    <row r="139">
      <c r="A139" t="str">
        <v>C12</v>
      </c>
      <c r="B139" t="str">
        <v>A</v>
      </c>
      <c r="C139">
        <v>2026</v>
      </c>
      <c r="D139">
        <v>6</v>
      </c>
      <c r="E139" t="str">
        <v>FINALIZED</v>
      </c>
      <c r="F139" t="n">
        <v>235000.0</v>
      </c>
      <c r="G139" t="n">
        <v>50000.0</v>
      </c>
      <c r="H139"/>
      <c r="I139"/>
      <c r="J139"/>
      <c r="K139" s="1">
        <f>IF(E139="FINALIZED",ROUND(F139+G139+H139+I139,0),0)</f>
        <v>285000</v>
      </c>
      <c r="L139" s="1">
        <f>IF(E139="FINALIZED",ROUND(F139+G139+H139+I139,0),0)</f>
        <v>285000</v>
      </c>
      <c r="M139" t="str">
        <v>PAYSLIP-2026-06</v>
      </c>
      <c r="N139" t="str">
        <v>STAGING-PROVISIONS-2026-R1</v>
      </c>
    </row>
    <row r="140">
      <c r="A140" t="str">
        <v>C12</v>
      </c>
      <c r="B140" t="str">
        <v>A</v>
      </c>
      <c r="C140">
        <v>2026</v>
      </c>
      <c r="D140">
        <v>7</v>
      </c>
      <c r="E140" t="str">
        <v>FINALIZED</v>
      </c>
      <c r="F140" t="n">
        <v>235000.0</v>
      </c>
      <c r="G140" t="n">
        <v>50000.0</v>
      </c>
      <c r="H140"/>
      <c r="I140"/>
      <c r="J140"/>
      <c r="K140" s="1">
        <f>IF(E140="FINALIZED",ROUND(F140+G140+H140+I140,0),0)</f>
        <v>285000</v>
      </c>
      <c r="L140" s="1">
        <f>IF(E140="FINALIZED",ROUND(F140+G140+H140+I140,0),0)</f>
        <v>285000</v>
      </c>
      <c r="M140" t="str">
        <v>PAYSLIP-2026-07</v>
      </c>
      <c r="N140" t="str">
        <v>STAGING-PROVISIONS-2026-R1</v>
      </c>
    </row>
    <row r="141">
      <c r="A141" t="str">
        <v>C12</v>
      </c>
      <c r="B141" t="str">
        <v>A</v>
      </c>
      <c r="C141">
        <v>2026</v>
      </c>
      <c r="D141">
        <v>8</v>
      </c>
      <c r="E141" t="str">
        <v>FINALIZED</v>
      </c>
      <c r="F141" t="n">
        <v>235000.0</v>
      </c>
      <c r="G141" t="n">
        <v>50000.0</v>
      </c>
      <c r="H141"/>
      <c r="I141"/>
      <c r="J141"/>
      <c r="K141" s="1">
        <f>IF(E141="FINALIZED",ROUND(F141+G141+H141+I141,0),0)</f>
        <v>285000</v>
      </c>
      <c r="L141" s="1">
        <f>IF(E141="FINALIZED",ROUND(F141+G141+H141+I141,0),0)</f>
        <v>285000</v>
      </c>
      <c r="M141" t="str">
        <v>PAYSLIP-2026-08</v>
      </c>
      <c r="N141" t="str">
        <v>STAGING-PROVISIONS-2026-R1</v>
      </c>
    </row>
    <row r="142">
      <c r="A142" t="str">
        <v>C12</v>
      </c>
      <c r="B142" t="str">
        <v>A</v>
      </c>
      <c r="C142">
        <v>2026</v>
      </c>
      <c r="D142">
        <v>9</v>
      </c>
      <c r="E142"/>
      <c r="F142"/>
      <c r="G142"/>
      <c r="H142"/>
      <c r="I142"/>
      <c r="J142"/>
      <c r="K142" s="1">
        <f>IF(E142="FINALIZED",ROUND(F142+G142+H142+I142,0),0)</f>
        <v>0</v>
      </c>
      <c r="L142" s="1">
        <f>IF(E142="FINALIZED",ROUND(F142+G142+H142+I142,0),0)</f>
        <v>0</v>
      </c>
      <c r="M142"/>
      <c r="N142"/>
    </row>
    <row r="143">
      <c r="A143" t="str">
        <v>C12</v>
      </c>
      <c r="B143" t="str">
        <v>A</v>
      </c>
      <c r="C143">
        <v>2026</v>
      </c>
      <c r="D143">
        <v>10</v>
      </c>
      <c r="E143"/>
      <c r="F143"/>
      <c r="G143"/>
      <c r="H143"/>
      <c r="I143"/>
      <c r="J143"/>
      <c r="K143" s="1">
        <f>IF(E143="FINALIZED",ROUND(F143+G143+H143+I143,0),0)</f>
        <v>0</v>
      </c>
      <c r="L143" s="1">
        <f>IF(E143="FINALIZED",ROUND(F143+G143+H143+I143,0),0)</f>
        <v>0</v>
      </c>
      <c r="M143"/>
      <c r="N143"/>
    </row>
    <row r="144">
      <c r="A144" t="str">
        <v>C12</v>
      </c>
      <c r="B144" t="str">
        <v>A</v>
      </c>
      <c r="C144">
        <v>2026</v>
      </c>
      <c r="D144">
        <v>11</v>
      </c>
      <c r="E144"/>
      <c r="F144"/>
      <c r="G144"/>
      <c r="H144"/>
      <c r="I144"/>
      <c r="J144"/>
      <c r="K144" s="1">
        <f>IF(E144="FINALIZED",ROUND(F144+G144+H144+I144,0),0)</f>
        <v>0</v>
      </c>
      <c r="L144" s="1">
        <f>IF(E144="FINALIZED",ROUND(F144+G144+H144+I144,0),0)</f>
        <v>0</v>
      </c>
      <c r="M144"/>
      <c r="N144"/>
    </row>
    <row r="145">
      <c r="A145" t="str">
        <v>C12</v>
      </c>
      <c r="B145" t="str">
        <v>A</v>
      </c>
      <c r="C145">
        <v>2026</v>
      </c>
      <c r="D145">
        <v>12</v>
      </c>
      <c r="E145"/>
      <c r="F145"/>
      <c r="G145"/>
      <c r="H145"/>
      <c r="I145"/>
      <c r="J145"/>
      <c r="K145" s="1">
        <f>IF(E145="FINALIZED",ROUND(F145+G145+H145+I145,0),0)</f>
        <v>0</v>
      </c>
      <c r="L145" s="1">
        <f>IF(E145="FINALIZED",ROUND(F145+G145+H145+I145,0),0)</f>
        <v>0</v>
      </c>
      <c r="M145"/>
      <c r="N145"/>
    </row>
    <row r="146">
      <c r="A146" t="str">
        <v>C13</v>
      </c>
      <c r="B146" t="str">
        <v>A</v>
      </c>
      <c r="C146">
        <v>2026</v>
      </c>
      <c r="D146">
        <v>1</v>
      </c>
      <c r="E146" t="str">
        <v>DRAFT</v>
      </c>
      <c r="F146"/>
      <c r="G146"/>
      <c r="H146"/>
      <c r="I146"/>
      <c r="J146"/>
      <c r="K146" s="1">
        <f>IF(E146="FINALIZED",ROUND(F146+G146+H146+I146,0),0)</f>
        <v>0</v>
      </c>
      <c r="L146" s="1">
        <f>IF(E146="FINALIZED",ROUND(F146+G146+H146+I146,0),0)</f>
        <v>0</v>
      </c>
      <c r="M146"/>
      <c r="N146"/>
    </row>
    <row r="147">
      <c r="A147" t="str">
        <v>C13</v>
      </c>
      <c r="B147" t="str">
        <v>A</v>
      </c>
      <c r="C147">
        <v>2026</v>
      </c>
      <c r="D147">
        <v>2</v>
      </c>
      <c r="E147" t="str">
        <v>DRAFT</v>
      </c>
      <c r="F147"/>
      <c r="G147"/>
      <c r="H147"/>
      <c r="I147"/>
      <c r="J147"/>
      <c r="K147" s="1">
        <f>IF(E147="FINALIZED",ROUND(F147+G147+H147+I147,0),0)</f>
        <v>0</v>
      </c>
      <c r="L147" s="1">
        <f>IF(E147="FINALIZED",ROUND(F147+G147+H147+I147,0),0)</f>
        <v>0</v>
      </c>
      <c r="M147"/>
      <c r="N147"/>
    </row>
    <row r="148">
      <c r="A148" t="str">
        <v>C13</v>
      </c>
      <c r="B148" t="str">
        <v>A</v>
      </c>
      <c r="C148">
        <v>2026</v>
      </c>
      <c r="D148">
        <v>3</v>
      </c>
      <c r="E148" t="str">
        <v>DRAFT</v>
      </c>
      <c r="F148"/>
      <c r="G148"/>
      <c r="H148"/>
      <c r="I148"/>
      <c r="J148"/>
      <c r="K148" s="1">
        <f>IF(E148="FINALIZED",ROUND(F148+G148+H148+I148,0),0)</f>
        <v>0</v>
      </c>
      <c r="L148" s="1">
        <f>IF(E148="FINALIZED",ROUND(F148+G148+H148+I148,0),0)</f>
        <v>0</v>
      </c>
      <c r="M148"/>
      <c r="N148"/>
    </row>
    <row r="149">
      <c r="A149" t="str">
        <v>C13</v>
      </c>
      <c r="B149" t="str">
        <v>A</v>
      </c>
      <c r="C149">
        <v>2026</v>
      </c>
      <c r="D149">
        <v>4</v>
      </c>
      <c r="E149" t="str">
        <v>DRAFT</v>
      </c>
      <c r="F149"/>
      <c r="G149"/>
      <c r="H149"/>
      <c r="I149"/>
      <c r="J149"/>
      <c r="K149" s="1">
        <f>IF(E149="FINALIZED",ROUND(F149+G149+H149+I149,0),0)</f>
        <v>0</v>
      </c>
      <c r="L149" s="1">
        <f>IF(E149="FINALIZED",ROUND(F149+G149+H149+I149,0),0)</f>
        <v>0</v>
      </c>
      <c r="M149"/>
      <c r="N149"/>
    </row>
    <row r="150">
      <c r="A150" t="str">
        <v>C13</v>
      </c>
      <c r="B150" t="str">
        <v>A</v>
      </c>
      <c r="C150">
        <v>2026</v>
      </c>
      <c r="D150">
        <v>5</v>
      </c>
      <c r="E150" t="str">
        <v>FINALIZED</v>
      </c>
      <c r="F150" t="n">
        <v>240000.0</v>
      </c>
      <c r="G150" t="n">
        <v>60000.0</v>
      </c>
      <c r="H150"/>
      <c r="I150"/>
      <c r="J150"/>
      <c r="K150" s="1">
        <f>IF(E150="FINALIZED",ROUND(F150+G150+H150+I150,0),0)</f>
        <v>300000</v>
      </c>
      <c r="L150" s="1">
        <f>IF(E150="FINALIZED",ROUND(F150+G150+H150+I150,0),0)</f>
        <v>300000</v>
      </c>
      <c r="M150" t="str">
        <v>PAYSLIP-2026-05</v>
      </c>
      <c r="N150" t="str">
        <v>STAGING-PROVISIONS-2026-R1</v>
      </c>
    </row>
    <row r="151">
      <c r="A151" t="str">
        <v>C13</v>
      </c>
      <c r="B151" t="str">
        <v>A</v>
      </c>
      <c r="C151">
        <v>2026</v>
      </c>
      <c r="D151">
        <v>6</v>
      </c>
      <c r="E151" t="str">
        <v>FINALIZED</v>
      </c>
      <c r="F151" t="n">
        <v>240000.0</v>
      </c>
      <c r="G151" t="n">
        <v>60000.0</v>
      </c>
      <c r="H151"/>
      <c r="I151"/>
      <c r="J151"/>
      <c r="K151" s="1">
        <f>IF(E151="FINALIZED",ROUND(F151+G151+H151+I151,0),0)</f>
        <v>300000</v>
      </c>
      <c r="L151" s="1">
        <f>IF(E151="FINALIZED",ROUND(F151+G151+H151+I151,0),0)</f>
        <v>300000</v>
      </c>
      <c r="M151" t="str">
        <v>PAYSLIP-2026-06</v>
      </c>
      <c r="N151" t="str">
        <v>STAGING-PROVISIONS-2026-R1</v>
      </c>
    </row>
    <row r="152">
      <c r="A152" t="str">
        <v>C13</v>
      </c>
      <c r="B152" t="str">
        <v>A</v>
      </c>
      <c r="C152">
        <v>2026</v>
      </c>
      <c r="D152">
        <v>7</v>
      </c>
      <c r="E152" t="str">
        <v>FINALIZED</v>
      </c>
      <c r="F152" t="n">
        <v>240000.0</v>
      </c>
      <c r="G152" t="n">
        <v>60000.0</v>
      </c>
      <c r="H152"/>
      <c r="I152"/>
      <c r="J152"/>
      <c r="K152" s="1">
        <f>IF(E152="FINALIZED",ROUND(F152+G152+H152+I152,0),0)</f>
        <v>300000</v>
      </c>
      <c r="L152" s="1">
        <f>IF(E152="FINALIZED",ROUND(F152+G152+H152+I152,0),0)</f>
        <v>300000</v>
      </c>
      <c r="M152" t="str">
        <v>PAYSLIP-2026-07</v>
      </c>
      <c r="N152" t="str">
        <v>STAGING-PROVISIONS-2026-R1</v>
      </c>
    </row>
    <row r="153">
      <c r="A153" t="str">
        <v>C13</v>
      </c>
      <c r="B153" t="str">
        <v>A</v>
      </c>
      <c r="C153">
        <v>2026</v>
      </c>
      <c r="D153">
        <v>8</v>
      </c>
      <c r="E153" t="str">
        <v>FINALIZED</v>
      </c>
      <c r="F153" t="n">
        <v>240000.0</v>
      </c>
      <c r="G153" t="n">
        <v>60000.0</v>
      </c>
      <c r="H153"/>
      <c r="I153"/>
      <c r="J153"/>
      <c r="K153" s="1">
        <f>IF(E153="FINALIZED",ROUND(F153+G153+H153+I153,0),0)</f>
        <v>300000</v>
      </c>
      <c r="L153" s="1">
        <f>IF(E153="FINALIZED",ROUND(F153+G153+H153+I153,0),0)</f>
        <v>300000</v>
      </c>
      <c r="M153" t="str">
        <v>PAYSLIP-2026-08</v>
      </c>
      <c r="N153" t="str">
        <v>STAGING-PROVISIONS-2026-R1</v>
      </c>
    </row>
    <row r="154">
      <c r="A154" t="str">
        <v>C13</v>
      </c>
      <c r="B154" t="str">
        <v>A</v>
      </c>
      <c r="C154">
        <v>2026</v>
      </c>
      <c r="D154">
        <v>9</v>
      </c>
      <c r="E154"/>
      <c r="F154"/>
      <c r="G154"/>
      <c r="H154"/>
      <c r="I154"/>
      <c r="J154"/>
      <c r="K154" s="1">
        <f>IF(E154="FINALIZED",ROUND(F154+G154+H154+I154,0),0)</f>
        <v>0</v>
      </c>
      <c r="L154" s="1">
        <f>IF(E154="FINALIZED",ROUND(F154+G154+H154+I154,0),0)</f>
        <v>0</v>
      </c>
      <c r="M154"/>
      <c r="N154"/>
    </row>
    <row r="155">
      <c r="A155" t="str">
        <v>C13</v>
      </c>
      <c r="B155" t="str">
        <v>A</v>
      </c>
      <c r="C155">
        <v>2026</v>
      </c>
      <c r="D155">
        <v>10</v>
      </c>
      <c r="E155"/>
      <c r="F155"/>
      <c r="G155"/>
      <c r="H155"/>
      <c r="I155"/>
      <c r="J155"/>
      <c r="K155" s="1">
        <f>IF(E155="FINALIZED",ROUND(F155+G155+H155+I155,0),0)</f>
        <v>0</v>
      </c>
      <c r="L155" s="1">
        <f>IF(E155="FINALIZED",ROUND(F155+G155+H155+I155,0),0)</f>
        <v>0</v>
      </c>
      <c r="M155"/>
      <c r="N155"/>
    </row>
    <row r="156">
      <c r="A156" t="str">
        <v>C13</v>
      </c>
      <c r="B156" t="str">
        <v>A</v>
      </c>
      <c r="C156">
        <v>2026</v>
      </c>
      <c r="D156">
        <v>11</v>
      </c>
      <c r="E156"/>
      <c r="F156"/>
      <c r="G156"/>
      <c r="H156"/>
      <c r="I156"/>
      <c r="J156"/>
      <c r="K156" s="1">
        <f>IF(E156="FINALIZED",ROUND(F156+G156+H156+I156,0),0)</f>
        <v>0</v>
      </c>
      <c r="L156" s="1">
        <f>IF(E156="FINALIZED",ROUND(F156+G156+H156+I156,0),0)</f>
        <v>0</v>
      </c>
      <c r="M156"/>
      <c r="N156"/>
    </row>
    <row r="157">
      <c r="A157" t="str">
        <v>C13</v>
      </c>
      <c r="B157" t="str">
        <v>A</v>
      </c>
      <c r="C157">
        <v>2026</v>
      </c>
      <c r="D157">
        <v>12</v>
      </c>
      <c r="E157"/>
      <c r="F157"/>
      <c r="G157"/>
      <c r="H157"/>
      <c r="I157"/>
      <c r="J157"/>
      <c r="K157" s="1">
        <f>IF(E157="FINALIZED",ROUND(F157+G157+H157+I157,0),0)</f>
        <v>0</v>
      </c>
      <c r="L157" s="1">
        <f>IF(E157="FINALIZED",ROUND(F157+G157+H157+I157,0),0)</f>
        <v>0</v>
      </c>
      <c r="M157"/>
      <c r="N157"/>
    </row>
    <row r="158">
      <c r="A158" t="str">
        <v>C14</v>
      </c>
      <c r="B158" t="str">
        <v>A</v>
      </c>
      <c r="C158">
        <v>2026</v>
      </c>
      <c r="D158">
        <v>1</v>
      </c>
      <c r="E158" t="str">
        <v>DRAFT</v>
      </c>
      <c r="F158" t="n">
        <v>245000.0</v>
      </c>
      <c r="G158" t="n">
        <v>60000.0</v>
      </c>
      <c r="H158"/>
      <c r="I158"/>
      <c r="J158"/>
      <c r="K158" s="1">
        <f>IF(E158="FINALIZED",ROUND(F158+G158+H158+I158,0),0)</f>
        <v>0</v>
      </c>
      <c r="L158" s="1">
        <f>IF(E158="FINALIZED",ROUND(F158+G158+H158+I158,0),0)</f>
        <v>0</v>
      </c>
      <c r="M158" t="str">
        <v>DRAFT-2026-01</v>
      </c>
      <c r="N158" t="str">
        <v>Paie brouillon non clôturée ; fallback contractuel</v>
      </c>
    </row>
    <row r="159">
      <c r="A159" t="str">
        <v>C14</v>
      </c>
      <c r="B159" t="str">
        <v>A</v>
      </c>
      <c r="C159">
        <v>2026</v>
      </c>
      <c r="D159">
        <v>2</v>
      </c>
      <c r="E159" t="str">
        <v>DRAFT</v>
      </c>
      <c r="F159" t="n">
        <v>245000.0</v>
      </c>
      <c r="G159" t="n">
        <v>60000.0</v>
      </c>
      <c r="H159"/>
      <c r="I159"/>
      <c r="J159"/>
      <c r="K159" s="1">
        <f>IF(E159="FINALIZED",ROUND(F159+G159+H159+I159,0),0)</f>
        <v>0</v>
      </c>
      <c r="L159" s="1">
        <f>IF(E159="FINALIZED",ROUND(F159+G159+H159+I159,0),0)</f>
        <v>0</v>
      </c>
      <c r="M159" t="str">
        <v>DRAFT-2026-02</v>
      </c>
      <c r="N159" t="str">
        <v>Paie brouillon non clôturée ; fallback contractuel</v>
      </c>
    </row>
    <row r="160">
      <c r="A160" t="str">
        <v>C14</v>
      </c>
      <c r="B160" t="str">
        <v>A</v>
      </c>
      <c r="C160">
        <v>2026</v>
      </c>
      <c r="D160">
        <v>3</v>
      </c>
      <c r="E160" t="str">
        <v>DRAFT</v>
      </c>
      <c r="F160" t="n">
        <v>245000.0</v>
      </c>
      <c r="G160" t="n">
        <v>60000.0</v>
      </c>
      <c r="H160"/>
      <c r="I160"/>
      <c r="J160"/>
      <c r="K160" s="1">
        <f>IF(E160="FINALIZED",ROUND(F160+G160+H160+I160,0),0)</f>
        <v>0</v>
      </c>
      <c r="L160" s="1">
        <f>IF(E160="FINALIZED",ROUND(F160+G160+H160+I160,0),0)</f>
        <v>0</v>
      </c>
      <c r="M160" t="str">
        <v>DRAFT-2026-03</v>
      </c>
      <c r="N160" t="str">
        <v>Paie brouillon non clôturée ; fallback contractuel</v>
      </c>
    </row>
    <row r="161">
      <c r="A161" t="str">
        <v>C14</v>
      </c>
      <c r="B161" t="str">
        <v>A</v>
      </c>
      <c r="C161">
        <v>2026</v>
      </c>
      <c r="D161">
        <v>4</v>
      </c>
      <c r="E161" t="str">
        <v>DRAFT</v>
      </c>
      <c r="F161" t="n">
        <v>245000.0</v>
      </c>
      <c r="G161" t="n">
        <v>60000.0</v>
      </c>
      <c r="H161"/>
      <c r="I161"/>
      <c r="J161"/>
      <c r="K161" s="1">
        <f>IF(E161="FINALIZED",ROUND(F161+G161+H161+I161,0),0)</f>
        <v>0</v>
      </c>
      <c r="L161" s="1">
        <f>IF(E161="FINALIZED",ROUND(F161+G161+H161+I161,0),0)</f>
        <v>0</v>
      </c>
      <c r="M161" t="str">
        <v>DRAFT-2026-04</v>
      </c>
      <c r="N161" t="str">
        <v>Paie brouillon non clôturée ; fallback contractuel</v>
      </c>
    </row>
    <row r="162">
      <c r="A162" t="str">
        <v>C14</v>
      </c>
      <c r="B162" t="str">
        <v>A</v>
      </c>
      <c r="C162">
        <v>2026</v>
      </c>
      <c r="D162">
        <v>5</v>
      </c>
      <c r="E162" t="str">
        <v>DRAFT</v>
      </c>
      <c r="F162" t="n">
        <v>245000.0</v>
      </c>
      <c r="G162" t="n">
        <v>60000.0</v>
      </c>
      <c r="H162"/>
      <c r="I162"/>
      <c r="J162"/>
      <c r="K162" s="1">
        <f>IF(E162="FINALIZED",ROUND(F162+G162+H162+I162,0),0)</f>
        <v>0</v>
      </c>
      <c r="L162" s="1">
        <f>IF(E162="FINALIZED",ROUND(F162+G162+H162+I162,0),0)</f>
        <v>0</v>
      </c>
      <c r="M162" t="str">
        <v>DRAFT-2026-05</v>
      </c>
      <c r="N162" t="str">
        <v>Paie brouillon non clôturée ; fallback contractuel</v>
      </c>
    </row>
    <row r="163">
      <c r="A163" t="str">
        <v>C14</v>
      </c>
      <c r="B163" t="str">
        <v>A</v>
      </c>
      <c r="C163">
        <v>2026</v>
      </c>
      <c r="D163">
        <v>6</v>
      </c>
      <c r="E163" t="str">
        <v>DRAFT</v>
      </c>
      <c r="F163" t="n">
        <v>245000.0</v>
      </c>
      <c r="G163" t="n">
        <v>60000.0</v>
      </c>
      <c r="H163"/>
      <c r="I163"/>
      <c r="J163"/>
      <c r="K163" s="1">
        <f>IF(E163="FINALIZED",ROUND(F163+G163+H163+I163,0),0)</f>
        <v>0</v>
      </c>
      <c r="L163" s="1">
        <f>IF(E163="FINALIZED",ROUND(F163+G163+H163+I163,0),0)</f>
        <v>0</v>
      </c>
      <c r="M163" t="str">
        <v>DRAFT-2026-06</v>
      </c>
      <c r="N163" t="str">
        <v>Paie brouillon non clôturée ; fallback contractuel</v>
      </c>
    </row>
    <row r="164">
      <c r="A164" t="str">
        <v>C14</v>
      </c>
      <c r="B164" t="str">
        <v>A</v>
      </c>
      <c r="C164">
        <v>2026</v>
      </c>
      <c r="D164">
        <v>7</v>
      </c>
      <c r="E164" t="str">
        <v>DRAFT</v>
      </c>
      <c r="F164" t="n">
        <v>245000.0</v>
      </c>
      <c r="G164" t="n">
        <v>60000.0</v>
      </c>
      <c r="H164"/>
      <c r="I164"/>
      <c r="J164"/>
      <c r="K164" s="1">
        <f>IF(E164="FINALIZED",ROUND(F164+G164+H164+I164,0),0)</f>
        <v>0</v>
      </c>
      <c r="L164" s="1">
        <f>IF(E164="FINALIZED",ROUND(F164+G164+H164+I164,0),0)</f>
        <v>0</v>
      </c>
      <c r="M164" t="str">
        <v>DRAFT-2026-07</v>
      </c>
      <c r="N164" t="str">
        <v>Paie brouillon non clôturée ; fallback contractuel</v>
      </c>
    </row>
    <row r="165">
      <c r="A165" t="str">
        <v>C14</v>
      </c>
      <c r="B165" t="str">
        <v>A</v>
      </c>
      <c r="C165">
        <v>2026</v>
      </c>
      <c r="D165">
        <v>8</v>
      </c>
      <c r="E165" t="str">
        <v>DRAFT</v>
      </c>
      <c r="F165" t="n">
        <v>245000.0</v>
      </c>
      <c r="G165" t="n">
        <v>60000.0</v>
      </c>
      <c r="H165"/>
      <c r="I165"/>
      <c r="J165"/>
      <c r="K165" s="1">
        <f>IF(E165="FINALIZED",ROUND(F165+G165+H165+I165,0),0)</f>
        <v>0</v>
      </c>
      <c r="L165" s="1">
        <f>IF(E165="FINALIZED",ROUND(F165+G165+H165+I165,0),0)</f>
        <v>0</v>
      </c>
      <c r="M165" t="str">
        <v>DRAFT-2026-08</v>
      </c>
      <c r="N165" t="str">
        <v>Paie brouillon non clôturée ; fallback contractuel</v>
      </c>
    </row>
    <row r="166">
      <c r="A166" t="str">
        <v>C14</v>
      </c>
      <c r="B166" t="str">
        <v>A</v>
      </c>
      <c r="C166">
        <v>2026</v>
      </c>
      <c r="D166">
        <v>9</v>
      </c>
      <c r="E166"/>
      <c r="F166"/>
      <c r="G166"/>
      <c r="H166"/>
      <c r="I166"/>
      <c r="J166"/>
      <c r="K166" s="1">
        <f>IF(E166="FINALIZED",ROUND(F166+G166+H166+I166,0),0)</f>
        <v>0</v>
      </c>
      <c r="L166" s="1">
        <f>IF(E166="FINALIZED",ROUND(F166+G166+H166+I166,0),0)</f>
        <v>0</v>
      </c>
      <c r="M166"/>
      <c r="N166"/>
    </row>
    <row r="167">
      <c r="A167" t="str">
        <v>C14</v>
      </c>
      <c r="B167" t="str">
        <v>A</v>
      </c>
      <c r="C167">
        <v>2026</v>
      </c>
      <c r="D167">
        <v>10</v>
      </c>
      <c r="E167"/>
      <c r="F167"/>
      <c r="G167"/>
      <c r="H167"/>
      <c r="I167"/>
      <c r="J167"/>
      <c r="K167" s="1">
        <f>IF(E167="FINALIZED",ROUND(F167+G167+H167+I167,0),0)</f>
        <v>0</v>
      </c>
      <c r="L167" s="1">
        <f>IF(E167="FINALIZED",ROUND(F167+G167+H167+I167,0),0)</f>
        <v>0</v>
      </c>
      <c r="M167"/>
      <c r="N167"/>
    </row>
    <row r="168">
      <c r="A168" t="str">
        <v>C14</v>
      </c>
      <c r="B168" t="str">
        <v>A</v>
      </c>
      <c r="C168">
        <v>2026</v>
      </c>
      <c r="D168">
        <v>11</v>
      </c>
      <c r="E168"/>
      <c r="F168"/>
      <c r="G168"/>
      <c r="H168"/>
      <c r="I168"/>
      <c r="J168"/>
      <c r="K168" s="1">
        <f>IF(E168="FINALIZED",ROUND(F168+G168+H168+I168,0),0)</f>
        <v>0</v>
      </c>
      <c r="L168" s="1">
        <f>IF(E168="FINALIZED",ROUND(F168+G168+H168+I168,0),0)</f>
        <v>0</v>
      </c>
      <c r="M168"/>
      <c r="N168"/>
    </row>
    <row r="169">
      <c r="A169" t="str">
        <v>C14</v>
      </c>
      <c r="B169" t="str">
        <v>A</v>
      </c>
      <c r="C169">
        <v>2026</v>
      </c>
      <c r="D169">
        <v>12</v>
      </c>
      <c r="E169"/>
      <c r="F169"/>
      <c r="G169"/>
      <c r="H169"/>
      <c r="I169"/>
      <c r="J169"/>
      <c r="K169" s="1">
        <f>IF(E169="FINALIZED",ROUND(F169+G169+H169+I169,0),0)</f>
        <v>0</v>
      </c>
      <c r="L169" s="1">
        <f>IF(E169="FINALIZED",ROUND(F169+G169+H169+I169,0),0)</f>
        <v>0</v>
      </c>
      <c r="M169"/>
      <c r="N169"/>
    </row>
    <row r="170">
      <c r="A170" t="str">
        <v>C15</v>
      </c>
      <c r="B170" t="str">
        <v>A</v>
      </c>
      <c r="C170">
        <v>2026</v>
      </c>
      <c r="D170">
        <v>1</v>
      </c>
      <c r="E170" t="str">
        <v>FINALIZED</v>
      </c>
      <c r="F170" t="n">
        <v>250000.0</v>
      </c>
      <c r="G170" t="n">
        <v>60000.0</v>
      </c>
      <c r="H170"/>
      <c r="I170"/>
      <c r="J170" t="n">
        <v>45000.0</v>
      </c>
      <c r="K170" s="1">
        <f>IF(E170="FINALIZED",ROUND(F170+G170+H170+I170,0),0)</f>
        <v>310000</v>
      </c>
      <c r="L170" s="1">
        <f>IF(E170="FINALIZED",ROUND(F170+G170+H170+I170,0),0)</f>
        <v>310000</v>
      </c>
      <c r="M170" t="str">
        <v>PAYSLIP-2026-01</v>
      </c>
      <c r="N170" t="str">
        <v>STAGING-PROVISIONS-2026-R1</v>
      </c>
    </row>
    <row r="171">
      <c r="A171" t="str">
        <v>C15</v>
      </c>
      <c r="B171" t="str">
        <v>A</v>
      </c>
      <c r="C171">
        <v>2026</v>
      </c>
      <c r="D171">
        <v>2</v>
      </c>
      <c r="E171" t="str">
        <v>FINALIZED</v>
      </c>
      <c r="F171" t="n">
        <v>250000.0</v>
      </c>
      <c r="G171" t="n">
        <v>60000.0</v>
      </c>
      <c r="H171"/>
      <c r="I171"/>
      <c r="J171" t="n">
        <v>45000.0</v>
      </c>
      <c r="K171" s="1">
        <f>IF(E171="FINALIZED",ROUND(F171+G171+H171+I171,0),0)</f>
        <v>310000</v>
      </c>
      <c r="L171" s="1">
        <f>IF(E171="FINALIZED",ROUND(F171+G171+H171+I171,0),0)</f>
        <v>310000</v>
      </c>
      <c r="M171" t="str">
        <v>PAYSLIP-2026-02</v>
      </c>
      <c r="N171" t="str">
        <v>STAGING-PROVISIONS-2026-R1</v>
      </c>
    </row>
    <row r="172">
      <c r="A172" t="str">
        <v>C15</v>
      </c>
      <c r="B172" t="str">
        <v>A</v>
      </c>
      <c r="C172">
        <v>2026</v>
      </c>
      <c r="D172">
        <v>3</v>
      </c>
      <c r="E172" t="str">
        <v>FINALIZED</v>
      </c>
      <c r="F172" t="n">
        <v>250000.0</v>
      </c>
      <c r="G172" t="n">
        <v>60000.0</v>
      </c>
      <c r="H172"/>
      <c r="I172"/>
      <c r="J172" t="n">
        <v>45000.0</v>
      </c>
      <c r="K172" s="1">
        <f>IF(E172="FINALIZED",ROUND(F172+G172+H172+I172,0),0)</f>
        <v>310000</v>
      </c>
      <c r="L172" s="1">
        <f>IF(E172="FINALIZED",ROUND(F172+G172+H172+I172,0),0)</f>
        <v>310000</v>
      </c>
      <c r="M172" t="str">
        <v>PAYSLIP-2026-03</v>
      </c>
      <c r="N172" t="str">
        <v>STAGING-PROVISIONS-2026-R1</v>
      </c>
    </row>
    <row r="173">
      <c r="A173" t="str">
        <v>C15</v>
      </c>
      <c r="B173" t="str">
        <v>A</v>
      </c>
      <c r="C173">
        <v>2026</v>
      </c>
      <c r="D173">
        <v>4</v>
      </c>
      <c r="E173" t="str">
        <v>FINALIZED</v>
      </c>
      <c r="F173" t="n">
        <v>250000.0</v>
      </c>
      <c r="G173" t="n">
        <v>60000.0</v>
      </c>
      <c r="H173"/>
      <c r="I173"/>
      <c r="J173" t="n">
        <v>45000.0</v>
      </c>
      <c r="K173" s="1">
        <f>IF(E173="FINALIZED",ROUND(F173+G173+H173+I173,0),0)</f>
        <v>310000</v>
      </c>
      <c r="L173" s="1">
        <f>IF(E173="FINALIZED",ROUND(F173+G173+H173+I173,0),0)</f>
        <v>310000</v>
      </c>
      <c r="M173" t="str">
        <v>PAYSLIP-2026-04</v>
      </c>
      <c r="N173" t="str">
        <v>STAGING-PROVISIONS-2026-R1</v>
      </c>
    </row>
    <row r="174">
      <c r="A174" t="str">
        <v>C15</v>
      </c>
      <c r="B174" t="str">
        <v>A</v>
      </c>
      <c r="C174">
        <v>2026</v>
      </c>
      <c r="D174">
        <v>5</v>
      </c>
      <c r="E174" t="str">
        <v>FINALIZED</v>
      </c>
      <c r="F174" t="n">
        <v>250000.0</v>
      </c>
      <c r="G174" t="n">
        <v>60000.0</v>
      </c>
      <c r="H174"/>
      <c r="I174"/>
      <c r="J174" t="n">
        <v>45000.0</v>
      </c>
      <c r="K174" s="1">
        <f>IF(E174="FINALIZED",ROUND(F174+G174+H174+I174,0),0)</f>
        <v>310000</v>
      </c>
      <c r="L174" s="1">
        <f>IF(E174="FINALIZED",ROUND(F174+G174+H174+I174,0),0)</f>
        <v>310000</v>
      </c>
      <c r="M174" t="str">
        <v>PAYSLIP-2026-05</v>
      </c>
      <c r="N174" t="str">
        <v>STAGING-PROVISIONS-2026-R1</v>
      </c>
    </row>
    <row r="175">
      <c r="A175" t="str">
        <v>C15</v>
      </c>
      <c r="B175" t="str">
        <v>A</v>
      </c>
      <c r="C175">
        <v>2026</v>
      </c>
      <c r="D175">
        <v>6</v>
      </c>
      <c r="E175" t="str">
        <v>FINALIZED</v>
      </c>
      <c r="F175" t="n">
        <v>250000.0</v>
      </c>
      <c r="G175" t="n">
        <v>60000.0</v>
      </c>
      <c r="H175"/>
      <c r="I175"/>
      <c r="J175" t="n">
        <v>45000.0</v>
      </c>
      <c r="K175" s="1">
        <f>IF(E175="FINALIZED",ROUND(F175+G175+H175+I175,0),0)</f>
        <v>310000</v>
      </c>
      <c r="L175" s="1">
        <f>IF(E175="FINALIZED",ROUND(F175+G175+H175+I175,0),0)</f>
        <v>310000</v>
      </c>
      <c r="M175" t="str">
        <v>PAYSLIP-2026-06</v>
      </c>
      <c r="N175" t="str">
        <v>STAGING-PROVISIONS-2026-R1</v>
      </c>
    </row>
    <row r="176">
      <c r="A176" t="str">
        <v>C15</v>
      </c>
      <c r="B176" t="str">
        <v>A</v>
      </c>
      <c r="C176">
        <v>2026</v>
      </c>
      <c r="D176">
        <v>7</v>
      </c>
      <c r="E176" t="str">
        <v>FINALIZED</v>
      </c>
      <c r="F176" t="n">
        <v>250000.0</v>
      </c>
      <c r="G176" t="n">
        <v>60000.0</v>
      </c>
      <c r="H176"/>
      <c r="I176"/>
      <c r="J176" t="n">
        <v>45000.0</v>
      </c>
      <c r="K176" s="1">
        <f>IF(E176="FINALIZED",ROUND(F176+G176+H176+I176,0),0)</f>
        <v>310000</v>
      </c>
      <c r="L176" s="1">
        <f>IF(E176="FINALIZED",ROUND(F176+G176+H176+I176,0),0)</f>
        <v>310000</v>
      </c>
      <c r="M176" t="str">
        <v>PAYSLIP-2026-07</v>
      </c>
      <c r="N176" t="str">
        <v>STAGING-PROVISIONS-2026-R1</v>
      </c>
    </row>
    <row r="177">
      <c r="A177" t="str">
        <v>C15</v>
      </c>
      <c r="B177" t="str">
        <v>A</v>
      </c>
      <c r="C177">
        <v>2026</v>
      </c>
      <c r="D177">
        <v>8</v>
      </c>
      <c r="E177" t="str">
        <v>FINALIZED</v>
      </c>
      <c r="F177" t="n">
        <v>250000.0</v>
      </c>
      <c r="G177" t="n">
        <v>60000.0</v>
      </c>
      <c r="H177"/>
      <c r="I177"/>
      <c r="J177" t="n">
        <v>45000.0</v>
      </c>
      <c r="K177" s="1">
        <f>IF(E177="FINALIZED",ROUND(F177+G177+H177+I177,0),0)</f>
        <v>310000</v>
      </c>
      <c r="L177" s="1">
        <f>IF(E177="FINALIZED",ROUND(F177+G177+H177+I177,0),0)</f>
        <v>310000</v>
      </c>
      <c r="M177" t="str">
        <v>PAYSLIP-2026-08</v>
      </c>
      <c r="N177" t="str">
        <v>STAGING-PROVISIONS-2026-R1</v>
      </c>
    </row>
    <row r="178">
      <c r="A178" t="str">
        <v>C15</v>
      </c>
      <c r="B178" t="str">
        <v>A</v>
      </c>
      <c r="C178">
        <v>2026</v>
      </c>
      <c r="D178">
        <v>9</v>
      </c>
      <c r="E178"/>
      <c r="F178"/>
      <c r="G178"/>
      <c r="H178"/>
      <c r="I178"/>
      <c r="J178"/>
      <c r="K178" s="1">
        <f>IF(E178="FINALIZED",ROUND(F178+G178+H178+I178,0),0)</f>
        <v>0</v>
      </c>
      <c r="L178" s="1">
        <f>IF(E178="FINALIZED",ROUND(F178+G178+H178+I178,0),0)</f>
        <v>0</v>
      </c>
      <c r="M178"/>
      <c r="N178"/>
    </row>
    <row r="179">
      <c r="A179" t="str">
        <v>C15</v>
      </c>
      <c r="B179" t="str">
        <v>A</v>
      </c>
      <c r="C179">
        <v>2026</v>
      </c>
      <c r="D179">
        <v>10</v>
      </c>
      <c r="E179"/>
      <c r="F179"/>
      <c r="G179"/>
      <c r="H179"/>
      <c r="I179"/>
      <c r="J179"/>
      <c r="K179" s="1">
        <f>IF(E179="FINALIZED",ROUND(F179+G179+H179+I179,0),0)</f>
        <v>0</v>
      </c>
      <c r="L179" s="1">
        <f>IF(E179="FINALIZED",ROUND(F179+G179+H179+I179,0),0)</f>
        <v>0</v>
      </c>
      <c r="M179"/>
      <c r="N179"/>
    </row>
    <row r="180">
      <c r="A180" t="str">
        <v>C15</v>
      </c>
      <c r="B180" t="str">
        <v>A</v>
      </c>
      <c r="C180">
        <v>2026</v>
      </c>
      <c r="D180">
        <v>11</v>
      </c>
      <c r="E180"/>
      <c r="F180"/>
      <c r="G180"/>
      <c r="H180"/>
      <c r="I180"/>
      <c r="J180"/>
      <c r="K180" s="1">
        <f>IF(E180="FINALIZED",ROUND(F180+G180+H180+I180,0),0)</f>
        <v>0</v>
      </c>
      <c r="L180" s="1">
        <f>IF(E180="FINALIZED",ROUND(F180+G180+H180+I180,0),0)</f>
        <v>0</v>
      </c>
      <c r="M180"/>
      <c r="N180"/>
    </row>
    <row r="181">
      <c r="A181" t="str">
        <v>C15</v>
      </c>
      <c r="B181" t="str">
        <v>A</v>
      </c>
      <c r="C181">
        <v>2026</v>
      </c>
      <c r="D181">
        <v>12</v>
      </c>
      <c r="E181"/>
      <c r="F181"/>
      <c r="G181"/>
      <c r="H181"/>
      <c r="I181"/>
      <c r="J181"/>
      <c r="K181" s="1">
        <f>IF(E181="FINALIZED",ROUND(F181+G181+H181+I181,0),0)</f>
        <v>0</v>
      </c>
      <c r="L181" s="1">
        <f>IF(E181="FINALIZED",ROUND(F181+G181+H181+I181,0),0)</f>
        <v>0</v>
      </c>
      <c r="M181"/>
      <c r="N181"/>
    </row>
    <row r="182">
      <c r="A182" t="str">
        <v>C16</v>
      </c>
      <c r="B182" t="str">
        <v>A</v>
      </c>
      <c r="C182">
        <v>2026</v>
      </c>
      <c r="D182">
        <v>1</v>
      </c>
      <c r="E182" t="str">
        <v>FINALIZED</v>
      </c>
      <c r="F182" t="n">
        <v>255000.0</v>
      </c>
      <c r="G182" t="n">
        <v>60000.0</v>
      </c>
      <c r="H182" t="n">
        <v>35000.0</v>
      </c>
      <c r="I182"/>
      <c r="J182"/>
      <c r="K182" s="1">
        <f>IF(E182="FINALIZED",ROUND(F182+G182+H182+I182,0),0)</f>
        <v>350000</v>
      </c>
      <c r="L182" s="1">
        <f>IF(E182="FINALIZED",ROUND(F182+G182+H182+I182,0),0)</f>
        <v>350000</v>
      </c>
      <c r="M182" t="str">
        <v>PAYSLIP-2026-01</v>
      </c>
      <c r="N182" t="str">
        <v>STAGING-PROVISIONS-2026-R1</v>
      </c>
    </row>
    <row r="183">
      <c r="A183" t="str">
        <v>C16</v>
      </c>
      <c r="B183" t="str">
        <v>A</v>
      </c>
      <c r="C183">
        <v>2026</v>
      </c>
      <c r="D183">
        <v>2</v>
      </c>
      <c r="E183" t="str">
        <v>FINALIZED</v>
      </c>
      <c r="F183" t="n">
        <v>255000.0</v>
      </c>
      <c r="G183" t="n">
        <v>60000.0</v>
      </c>
      <c r="H183" t="n">
        <v>35000.0</v>
      </c>
      <c r="I183"/>
      <c r="J183"/>
      <c r="K183" s="1">
        <f>IF(E183="FINALIZED",ROUND(F183+G183+H183+I183,0),0)</f>
        <v>350000</v>
      </c>
      <c r="L183" s="1">
        <f>IF(E183="FINALIZED",ROUND(F183+G183+H183+I183,0),0)</f>
        <v>350000</v>
      </c>
      <c r="M183" t="str">
        <v>PAYSLIP-2026-02</v>
      </c>
      <c r="N183" t="str">
        <v>STAGING-PROVISIONS-2026-R1</v>
      </c>
    </row>
    <row r="184">
      <c r="A184" t="str">
        <v>C16</v>
      </c>
      <c r="B184" t="str">
        <v>A</v>
      </c>
      <c r="C184">
        <v>2026</v>
      </c>
      <c r="D184">
        <v>3</v>
      </c>
      <c r="E184" t="str">
        <v>FINALIZED</v>
      </c>
      <c r="F184" t="n">
        <v>255000.0</v>
      </c>
      <c r="G184" t="n">
        <v>60000.0</v>
      </c>
      <c r="H184" t="n">
        <v>35000.0</v>
      </c>
      <c r="I184"/>
      <c r="J184"/>
      <c r="K184" s="1">
        <f>IF(E184="FINALIZED",ROUND(F184+G184+H184+I184,0),0)</f>
        <v>350000</v>
      </c>
      <c r="L184" s="1">
        <f>IF(E184="FINALIZED",ROUND(F184+G184+H184+I184,0),0)</f>
        <v>350000</v>
      </c>
      <c r="M184" t="str">
        <v>PAYSLIP-2026-03</v>
      </c>
      <c r="N184" t="str">
        <v>STAGING-PROVISIONS-2026-R1</v>
      </c>
    </row>
    <row r="185">
      <c r="A185" t="str">
        <v>C16</v>
      </c>
      <c r="B185" t="str">
        <v>A</v>
      </c>
      <c r="C185">
        <v>2026</v>
      </c>
      <c r="D185">
        <v>4</v>
      </c>
      <c r="E185" t="str">
        <v>FINALIZED</v>
      </c>
      <c r="F185" t="n">
        <v>255000.0</v>
      </c>
      <c r="G185" t="n">
        <v>60000.0</v>
      </c>
      <c r="H185" t="n">
        <v>35000.0</v>
      </c>
      <c r="I185"/>
      <c r="J185"/>
      <c r="K185" s="1">
        <f>IF(E185="FINALIZED",ROUND(F185+G185+H185+I185,0),0)</f>
        <v>350000</v>
      </c>
      <c r="L185" s="1">
        <f>IF(E185="FINALIZED",ROUND(F185+G185+H185+I185,0),0)</f>
        <v>350000</v>
      </c>
      <c r="M185" t="str">
        <v>PAYSLIP-2026-04</v>
      </c>
      <c r="N185" t="str">
        <v>STAGING-PROVISIONS-2026-R1</v>
      </c>
    </row>
    <row r="186">
      <c r="A186" t="str">
        <v>C16</v>
      </c>
      <c r="B186" t="str">
        <v>A</v>
      </c>
      <c r="C186">
        <v>2026</v>
      </c>
      <c r="D186">
        <v>5</v>
      </c>
      <c r="E186" t="str">
        <v>FINALIZED</v>
      </c>
      <c r="F186" t="n">
        <v>255000.0</v>
      </c>
      <c r="G186" t="n">
        <v>60000.0</v>
      </c>
      <c r="H186" t="n">
        <v>35000.0</v>
      </c>
      <c r="I186"/>
      <c r="J186"/>
      <c r="K186" s="1">
        <f>IF(E186="FINALIZED",ROUND(F186+G186+H186+I186,0),0)</f>
        <v>350000</v>
      </c>
      <c r="L186" s="1">
        <f>IF(E186="FINALIZED",ROUND(F186+G186+H186+I186,0),0)</f>
        <v>350000</v>
      </c>
      <c r="M186" t="str">
        <v>PAYSLIP-2026-05</v>
      </c>
      <c r="N186" t="str">
        <v>STAGING-PROVISIONS-2026-R1</v>
      </c>
    </row>
    <row r="187">
      <c r="A187" t="str">
        <v>C16</v>
      </c>
      <c r="B187" t="str">
        <v>A</v>
      </c>
      <c r="C187">
        <v>2026</v>
      </c>
      <c r="D187">
        <v>6</v>
      </c>
      <c r="E187" t="str">
        <v>FINALIZED</v>
      </c>
      <c r="F187" t="n">
        <v>255000.0</v>
      </c>
      <c r="G187" t="n">
        <v>60000.0</v>
      </c>
      <c r="H187" t="n">
        <v>35000.0</v>
      </c>
      <c r="I187"/>
      <c r="J187"/>
      <c r="K187" s="1">
        <f>IF(E187="FINALIZED",ROUND(F187+G187+H187+I187,0),0)</f>
        <v>350000</v>
      </c>
      <c r="L187" s="1">
        <f>IF(E187="FINALIZED",ROUND(F187+G187+H187+I187,0),0)</f>
        <v>350000</v>
      </c>
      <c r="M187" t="str">
        <v>PAYSLIP-2026-06</v>
      </c>
      <c r="N187" t="str">
        <v>STAGING-PROVISIONS-2026-R1</v>
      </c>
    </row>
    <row r="188">
      <c r="A188" t="str">
        <v>C16</v>
      </c>
      <c r="B188" t="str">
        <v>A</v>
      </c>
      <c r="C188">
        <v>2026</v>
      </c>
      <c r="D188">
        <v>7</v>
      </c>
      <c r="E188" t="str">
        <v>FINALIZED</v>
      </c>
      <c r="F188" t="n">
        <v>255000.0</v>
      </c>
      <c r="G188" t="n">
        <v>60000.0</v>
      </c>
      <c r="H188" t="n">
        <v>35000.0</v>
      </c>
      <c r="I188"/>
      <c r="J188"/>
      <c r="K188" s="1">
        <f>IF(E188="FINALIZED",ROUND(F188+G188+H188+I188,0),0)</f>
        <v>350000</v>
      </c>
      <c r="L188" s="1">
        <f>IF(E188="FINALIZED",ROUND(F188+G188+H188+I188,0),0)</f>
        <v>350000</v>
      </c>
      <c r="M188" t="str">
        <v>PAYSLIP-2026-07</v>
      </c>
      <c r="N188" t="str">
        <v>STAGING-PROVISIONS-2026-R1</v>
      </c>
    </row>
    <row r="189">
      <c r="A189" t="str">
        <v>C16</v>
      </c>
      <c r="B189" t="str">
        <v>A</v>
      </c>
      <c r="C189">
        <v>2026</v>
      </c>
      <c r="D189">
        <v>8</v>
      </c>
      <c r="E189" t="str">
        <v>FINALIZED</v>
      </c>
      <c r="F189" t="n">
        <v>255000.0</v>
      </c>
      <c r="G189" t="n">
        <v>60000.0</v>
      </c>
      <c r="H189" t="n">
        <v>35000.0</v>
      </c>
      <c r="I189"/>
      <c r="J189"/>
      <c r="K189" s="1">
        <f>IF(E189="FINALIZED",ROUND(F189+G189+H189+I189,0),0)</f>
        <v>350000</v>
      </c>
      <c r="L189" s="1">
        <f>IF(E189="FINALIZED",ROUND(F189+G189+H189+I189,0),0)</f>
        <v>350000</v>
      </c>
      <c r="M189" t="str">
        <v>PAYSLIP-2026-08</v>
      </c>
      <c r="N189" t="str">
        <v>STAGING-PROVISIONS-2026-R1</v>
      </c>
    </row>
    <row r="190">
      <c r="A190" t="str">
        <v>C16</v>
      </c>
      <c r="B190" t="str">
        <v>A</v>
      </c>
      <c r="C190">
        <v>2026</v>
      </c>
      <c r="D190">
        <v>9</v>
      </c>
      <c r="E190"/>
      <c r="F190"/>
      <c r="G190"/>
      <c r="H190"/>
      <c r="I190"/>
      <c r="J190"/>
      <c r="K190" s="1">
        <f>IF(E190="FINALIZED",ROUND(F190+G190+H190+I190,0),0)</f>
        <v>0</v>
      </c>
      <c r="L190" s="1">
        <f>IF(E190="FINALIZED",ROUND(F190+G190+H190+I190,0),0)</f>
        <v>0</v>
      </c>
      <c r="M190"/>
      <c r="N190"/>
    </row>
    <row r="191">
      <c r="A191" t="str">
        <v>C16</v>
      </c>
      <c r="B191" t="str">
        <v>A</v>
      </c>
      <c r="C191">
        <v>2026</v>
      </c>
      <c r="D191">
        <v>10</v>
      </c>
      <c r="E191"/>
      <c r="F191"/>
      <c r="G191"/>
      <c r="H191"/>
      <c r="I191"/>
      <c r="J191"/>
      <c r="K191" s="1">
        <f>IF(E191="FINALIZED",ROUND(F191+G191+H191+I191,0),0)</f>
        <v>0</v>
      </c>
      <c r="L191" s="1">
        <f>IF(E191="FINALIZED",ROUND(F191+G191+H191+I191,0),0)</f>
        <v>0</v>
      </c>
      <c r="M191"/>
      <c r="N191"/>
    </row>
    <row r="192">
      <c r="A192" t="str">
        <v>C16</v>
      </c>
      <c r="B192" t="str">
        <v>A</v>
      </c>
      <c r="C192">
        <v>2026</v>
      </c>
      <c r="D192">
        <v>11</v>
      </c>
      <c r="E192"/>
      <c r="F192"/>
      <c r="G192"/>
      <c r="H192"/>
      <c r="I192"/>
      <c r="J192"/>
      <c r="K192" s="1">
        <f>IF(E192="FINALIZED",ROUND(F192+G192+H192+I192,0),0)</f>
        <v>0</v>
      </c>
      <c r="L192" s="1">
        <f>IF(E192="FINALIZED",ROUND(F192+G192+H192+I192,0),0)</f>
        <v>0</v>
      </c>
      <c r="M192"/>
      <c r="N192"/>
    </row>
    <row r="193">
      <c r="A193" t="str">
        <v>C16</v>
      </c>
      <c r="B193" t="str">
        <v>A</v>
      </c>
      <c r="C193">
        <v>2026</v>
      </c>
      <c r="D193">
        <v>12</v>
      </c>
      <c r="E193"/>
      <c r="F193"/>
      <c r="G193"/>
      <c r="H193"/>
      <c r="I193"/>
      <c r="J193"/>
      <c r="K193" s="1">
        <f>IF(E193="FINALIZED",ROUND(F193+G193+H193+I193,0),0)</f>
        <v>0</v>
      </c>
      <c r="L193" s="1">
        <f>IF(E193="FINALIZED",ROUND(F193+G193+H193+I193,0),0)</f>
        <v>0</v>
      </c>
      <c r="M193"/>
      <c r="N193"/>
    </row>
    <row r="194">
      <c r="A194" t="str">
        <v>C17</v>
      </c>
      <c r="B194" t="str">
        <v>A</v>
      </c>
      <c r="C194">
        <v>2026</v>
      </c>
      <c r="D194">
        <v>1</v>
      </c>
      <c r="E194" t="str">
        <v>FINALIZED</v>
      </c>
      <c r="F194" t="n">
        <v>260000.0</v>
      </c>
      <c r="G194" t="n">
        <v>60000.0</v>
      </c>
      <c r="H194"/>
      <c r="I194"/>
      <c r="J194"/>
      <c r="K194" s="1">
        <f>IF(E194="FINALIZED",ROUND(F194+G194+H194+I194,0),0)</f>
        <v>320000</v>
      </c>
      <c r="L194" s="1">
        <f>IF(E194="FINALIZED",ROUND(F194+G194+H194+I194,0),0)</f>
        <v>320000</v>
      </c>
      <c r="M194" t="str">
        <v>PAYSLIP-2026-01</v>
      </c>
      <c r="N194" t="str">
        <v>STAGING-PROVISIONS-2026-R1</v>
      </c>
    </row>
    <row r="195">
      <c r="A195" t="str">
        <v>C17</v>
      </c>
      <c r="B195" t="str">
        <v>A</v>
      </c>
      <c r="C195">
        <v>2026</v>
      </c>
      <c r="D195">
        <v>2</v>
      </c>
      <c r="E195" t="str">
        <v>FINALIZED</v>
      </c>
      <c r="F195" t="n">
        <v>260000.0</v>
      </c>
      <c r="G195" t="n">
        <v>60000.0</v>
      </c>
      <c r="H195"/>
      <c r="I195"/>
      <c r="J195"/>
      <c r="K195" s="1">
        <f>IF(E195="FINALIZED",ROUND(F195+G195+H195+I195,0),0)</f>
        <v>320000</v>
      </c>
      <c r="L195" s="1">
        <f>IF(E195="FINALIZED",ROUND(F195+G195+H195+I195,0),0)</f>
        <v>320000</v>
      </c>
      <c r="M195" t="str">
        <v>PAYSLIP-2026-02</v>
      </c>
      <c r="N195" t="str">
        <v>STAGING-PROVISIONS-2026-R1</v>
      </c>
    </row>
    <row r="196">
      <c r="A196" t="str">
        <v>C17</v>
      </c>
      <c r="B196" t="str">
        <v>A</v>
      </c>
      <c r="C196">
        <v>2026</v>
      </c>
      <c r="D196">
        <v>3</v>
      </c>
      <c r="E196" t="str">
        <v>FINALIZED</v>
      </c>
      <c r="F196" t="n">
        <v>260000.0</v>
      </c>
      <c r="G196" t="n">
        <v>60000.0</v>
      </c>
      <c r="H196"/>
      <c r="I196"/>
      <c r="J196"/>
      <c r="K196" s="1">
        <f>IF(E196="FINALIZED",ROUND(F196+G196+H196+I196,0),0)</f>
        <v>320000</v>
      </c>
      <c r="L196" s="1">
        <f>IF(E196="FINALIZED",ROUND(F196+G196+H196+I196,0),0)</f>
        <v>320000</v>
      </c>
      <c r="M196" t="str">
        <v>PAYSLIP-2026-03</v>
      </c>
      <c r="N196" t="str">
        <v>STAGING-PROVISIONS-2026-R1</v>
      </c>
    </row>
    <row r="197">
      <c r="A197" t="str">
        <v>C17</v>
      </c>
      <c r="B197" t="str">
        <v>A</v>
      </c>
      <c r="C197">
        <v>2026</v>
      </c>
      <c r="D197">
        <v>4</v>
      </c>
      <c r="E197" t="str">
        <v>FINALIZED</v>
      </c>
      <c r="F197" t="n">
        <v>260000.0</v>
      </c>
      <c r="G197" t="n">
        <v>60000.0</v>
      </c>
      <c r="H197"/>
      <c r="I197"/>
      <c r="J197"/>
      <c r="K197" s="1">
        <f>IF(E197="FINALIZED",ROUND(F197+G197+H197+I197,0),0)</f>
        <v>320000</v>
      </c>
      <c r="L197" s="1">
        <f>IF(E197="FINALIZED",ROUND(F197+G197+H197+I197,0),0)</f>
        <v>320000</v>
      </c>
      <c r="M197" t="str">
        <v>PAYSLIP-2026-04</v>
      </c>
      <c r="N197" t="str">
        <v>STAGING-PROVISIONS-2026-R1</v>
      </c>
    </row>
    <row r="198">
      <c r="A198" t="str">
        <v>C17</v>
      </c>
      <c r="B198" t="str">
        <v>A</v>
      </c>
      <c r="C198">
        <v>2026</v>
      </c>
      <c r="D198">
        <v>5</v>
      </c>
      <c r="E198" t="str">
        <v>FINALIZED</v>
      </c>
      <c r="F198" t="n">
        <v>260000.0</v>
      </c>
      <c r="G198" t="n">
        <v>60000.0</v>
      </c>
      <c r="H198"/>
      <c r="I198"/>
      <c r="J198"/>
      <c r="K198" s="1">
        <f>IF(E198="FINALIZED",ROUND(F198+G198+H198+I198,0),0)</f>
        <v>320000</v>
      </c>
      <c r="L198" s="1">
        <f>IF(E198="FINALIZED",ROUND(F198+G198+H198+I198,0),0)</f>
        <v>320000</v>
      </c>
      <c r="M198" t="str">
        <v>PAYSLIP-2026-05</v>
      </c>
      <c r="N198" t="str">
        <v>STAGING-PROVISIONS-2026-R1</v>
      </c>
    </row>
    <row r="199">
      <c r="A199" t="str">
        <v>C17</v>
      </c>
      <c r="B199" t="str">
        <v>A</v>
      </c>
      <c r="C199">
        <v>2026</v>
      </c>
      <c r="D199">
        <v>6</v>
      </c>
      <c r="E199" t="str">
        <v>FINALIZED</v>
      </c>
      <c r="F199" t="n">
        <v>260000.0</v>
      </c>
      <c r="G199" t="n">
        <v>60000.0</v>
      </c>
      <c r="H199"/>
      <c r="I199"/>
      <c r="J199"/>
      <c r="K199" s="1">
        <f>IF(E199="FINALIZED",ROUND(F199+G199+H199+I199,0),0)</f>
        <v>320000</v>
      </c>
      <c r="L199" s="1">
        <f>IF(E199="FINALIZED",ROUND(F199+G199+H199+I199,0),0)</f>
        <v>320000</v>
      </c>
      <c r="M199" t="str">
        <v>PAYSLIP-2026-06</v>
      </c>
      <c r="N199" t="str">
        <v>STAGING-PROVISIONS-2026-R1</v>
      </c>
    </row>
    <row r="200">
      <c r="A200" t="str">
        <v>C17</v>
      </c>
      <c r="B200" t="str">
        <v>A</v>
      </c>
      <c r="C200">
        <v>2026</v>
      </c>
      <c r="D200">
        <v>7</v>
      </c>
      <c r="E200" t="str">
        <v>FINALIZED</v>
      </c>
      <c r="F200" t="n">
        <v>260000.0</v>
      </c>
      <c r="G200" t="n">
        <v>60000.0</v>
      </c>
      <c r="H200"/>
      <c r="I200"/>
      <c r="J200"/>
      <c r="K200" s="1">
        <f>IF(E200="FINALIZED",ROUND(F200+G200+H200+I200,0),0)</f>
        <v>320000</v>
      </c>
      <c r="L200" s="1">
        <f>IF(E200="FINALIZED",ROUND(F200+G200+H200+I200,0),0)</f>
        <v>320000</v>
      </c>
      <c r="M200" t="str">
        <v>PAYSLIP-2026-07</v>
      </c>
      <c r="N200" t="str">
        <v>STAGING-PROVISIONS-2026-R1</v>
      </c>
    </row>
    <row r="201">
      <c r="A201" t="str">
        <v>C17</v>
      </c>
      <c r="B201" t="str">
        <v>A</v>
      </c>
      <c r="C201">
        <v>2026</v>
      </c>
      <c r="D201">
        <v>8</v>
      </c>
      <c r="E201" t="str">
        <v>FINALIZED</v>
      </c>
      <c r="F201" t="n">
        <v>260000.0</v>
      </c>
      <c r="G201" t="n">
        <v>60000.0</v>
      </c>
      <c r="H201"/>
      <c r="I201"/>
      <c r="J201"/>
      <c r="K201" s="1">
        <f>IF(E201="FINALIZED",ROUND(F201+G201+H201+I201,0),0)</f>
        <v>320000</v>
      </c>
      <c r="L201" s="1">
        <f>IF(E201="FINALIZED",ROUND(F201+G201+H201+I201,0),0)</f>
        <v>320000</v>
      </c>
      <c r="M201" t="str">
        <v>PAYSLIP-2026-08</v>
      </c>
      <c r="N201" t="str">
        <v>STAGING-PROVISIONS-2026-R1</v>
      </c>
    </row>
    <row r="202">
      <c r="A202" t="str">
        <v>C17</v>
      </c>
      <c r="B202" t="str">
        <v>A</v>
      </c>
      <c r="C202">
        <v>2026</v>
      </c>
      <c r="D202">
        <v>9</v>
      </c>
      <c r="E202"/>
      <c r="F202"/>
      <c r="G202"/>
      <c r="H202"/>
      <c r="I202"/>
      <c r="J202"/>
      <c r="K202" s="1">
        <f>IF(E202="FINALIZED",ROUND(F202+G202+H202+I202,0),0)</f>
        <v>0</v>
      </c>
      <c r="L202" s="1">
        <f>IF(E202="FINALIZED",ROUND(F202+G202+H202+I202,0),0)</f>
        <v>0</v>
      </c>
      <c r="M202"/>
      <c r="N202"/>
    </row>
    <row r="203">
      <c r="A203" t="str">
        <v>C17</v>
      </c>
      <c r="B203" t="str">
        <v>A</v>
      </c>
      <c r="C203">
        <v>2026</v>
      </c>
      <c r="D203">
        <v>10</v>
      </c>
      <c r="E203"/>
      <c r="F203"/>
      <c r="G203"/>
      <c r="H203"/>
      <c r="I203"/>
      <c r="J203"/>
      <c r="K203" s="1">
        <f>IF(E203="FINALIZED",ROUND(F203+G203+H203+I203,0),0)</f>
        <v>0</v>
      </c>
      <c r="L203" s="1">
        <f>IF(E203="FINALIZED",ROUND(F203+G203+H203+I203,0),0)</f>
        <v>0</v>
      </c>
      <c r="M203"/>
      <c r="N203"/>
    </row>
    <row r="204">
      <c r="A204" t="str">
        <v>C17</v>
      </c>
      <c r="B204" t="str">
        <v>A</v>
      </c>
      <c r="C204">
        <v>2026</v>
      </c>
      <c r="D204">
        <v>11</v>
      </c>
      <c r="E204"/>
      <c r="F204"/>
      <c r="G204"/>
      <c r="H204"/>
      <c r="I204"/>
      <c r="J204"/>
      <c r="K204" s="1">
        <f>IF(E204="FINALIZED",ROUND(F204+G204+H204+I204,0),0)</f>
        <v>0</v>
      </c>
      <c r="L204" s="1">
        <f>IF(E204="FINALIZED",ROUND(F204+G204+H204+I204,0),0)</f>
        <v>0</v>
      </c>
      <c r="M204"/>
      <c r="N204"/>
    </row>
    <row r="205">
      <c r="A205" t="str">
        <v>C17</v>
      </c>
      <c r="B205" t="str">
        <v>A</v>
      </c>
      <c r="C205">
        <v>2026</v>
      </c>
      <c r="D205">
        <v>12</v>
      </c>
      <c r="E205"/>
      <c r="F205"/>
      <c r="G205"/>
      <c r="H205"/>
      <c r="I205"/>
      <c r="J205"/>
      <c r="K205" s="1">
        <f>IF(E205="FINALIZED",ROUND(F205+G205+H205+I205,0),0)</f>
        <v>0</v>
      </c>
      <c r="L205" s="1">
        <f>IF(E205="FINALIZED",ROUND(F205+G205+H205+I205,0),0)</f>
        <v>0</v>
      </c>
      <c r="M205"/>
      <c r="N205"/>
    </row>
    <row r="206">
      <c r="A206" t="str">
        <v>C18</v>
      </c>
      <c r="B206" t="str">
        <v>A</v>
      </c>
      <c r="C206">
        <v>2026</v>
      </c>
      <c r="D206">
        <v>1</v>
      </c>
      <c r="E206" t="str">
        <v>DRAFT</v>
      </c>
      <c r="F206"/>
      <c r="G206"/>
      <c r="H206"/>
      <c r="I206"/>
      <c r="J206"/>
      <c r="K206" s="1">
        <f>IF(E206="FINALIZED",ROUND(F206+G206+H206+I206,0),0)</f>
        <v>0</v>
      </c>
      <c r="L206" s="1">
        <f>IF(E206="FINALIZED",ROUND(F206+G206+H206+I206,0),0)</f>
        <v>0</v>
      </c>
      <c r="M206"/>
      <c r="N206"/>
    </row>
    <row r="207">
      <c r="A207" t="str">
        <v>C18</v>
      </c>
      <c r="B207" t="str">
        <v>A</v>
      </c>
      <c r="C207">
        <v>2026</v>
      </c>
      <c r="D207">
        <v>2</v>
      </c>
      <c r="E207" t="str">
        <v>DRAFT</v>
      </c>
      <c r="F207"/>
      <c r="G207"/>
      <c r="H207"/>
      <c r="I207"/>
      <c r="J207"/>
      <c r="K207" s="1">
        <f>IF(E207="FINALIZED",ROUND(F207+G207+H207+I207,0),0)</f>
        <v>0</v>
      </c>
      <c r="L207" s="1">
        <f>IF(E207="FINALIZED",ROUND(F207+G207+H207+I207,0),0)</f>
        <v>0</v>
      </c>
      <c r="M207"/>
      <c r="N207"/>
    </row>
    <row r="208">
      <c r="A208" t="str">
        <v>C18</v>
      </c>
      <c r="B208" t="str">
        <v>A</v>
      </c>
      <c r="C208">
        <v>2026</v>
      </c>
      <c r="D208">
        <v>3</v>
      </c>
      <c r="E208" t="str">
        <v>DRAFT</v>
      </c>
      <c r="F208"/>
      <c r="G208"/>
      <c r="H208"/>
      <c r="I208"/>
      <c r="J208"/>
      <c r="K208" s="1">
        <f>IF(E208="FINALIZED",ROUND(F208+G208+H208+I208,0),0)</f>
        <v>0</v>
      </c>
      <c r="L208" s="1">
        <f>IF(E208="FINALIZED",ROUND(F208+G208+H208+I208,0),0)</f>
        <v>0</v>
      </c>
      <c r="M208"/>
      <c r="N208"/>
    </row>
    <row r="209">
      <c r="A209" t="str">
        <v>C18</v>
      </c>
      <c r="B209" t="str">
        <v>A</v>
      </c>
      <c r="C209">
        <v>2026</v>
      </c>
      <c r="D209">
        <v>4</v>
      </c>
      <c r="E209" t="str">
        <v>DRAFT</v>
      </c>
      <c r="F209"/>
      <c r="G209"/>
      <c r="H209"/>
      <c r="I209"/>
      <c r="J209"/>
      <c r="K209" s="1">
        <f>IF(E209="FINALIZED",ROUND(F209+G209+H209+I209,0),0)</f>
        <v>0</v>
      </c>
      <c r="L209" s="1">
        <f>IF(E209="FINALIZED",ROUND(F209+G209+H209+I209,0),0)</f>
        <v>0</v>
      </c>
      <c r="M209"/>
      <c r="N209"/>
    </row>
    <row r="210">
      <c r="A210" t="str">
        <v>C18</v>
      </c>
      <c r="B210" t="str">
        <v>A</v>
      </c>
      <c r="C210">
        <v>2026</v>
      </c>
      <c r="D210">
        <v>5</v>
      </c>
      <c r="E210" t="str">
        <v>DRAFT</v>
      </c>
      <c r="F210"/>
      <c r="G210"/>
      <c r="H210"/>
      <c r="I210"/>
      <c r="J210"/>
      <c r="K210" s="1">
        <f>IF(E210="FINALIZED",ROUND(F210+G210+H210+I210,0),0)</f>
        <v>0</v>
      </c>
      <c r="L210" s="1">
        <f>IF(E210="FINALIZED",ROUND(F210+G210+H210+I210,0),0)</f>
        <v>0</v>
      </c>
      <c r="M210"/>
      <c r="N210"/>
    </row>
    <row r="211">
      <c r="A211" t="str">
        <v>C18</v>
      </c>
      <c r="B211" t="str">
        <v>A</v>
      </c>
      <c r="C211">
        <v>2026</v>
      </c>
      <c r="D211">
        <v>6</v>
      </c>
      <c r="E211" t="str">
        <v>DRAFT</v>
      </c>
      <c r="F211"/>
      <c r="G211"/>
      <c r="H211"/>
      <c r="I211"/>
      <c r="J211"/>
      <c r="K211" s="1">
        <f>IF(E211="FINALIZED",ROUND(F211+G211+H211+I211,0),0)</f>
        <v>0</v>
      </c>
      <c r="L211" s="1">
        <f>IF(E211="FINALIZED",ROUND(F211+G211+H211+I211,0),0)</f>
        <v>0</v>
      </c>
      <c r="M211"/>
      <c r="N211"/>
    </row>
    <row r="212">
      <c r="A212" t="str">
        <v>C18</v>
      </c>
      <c r="B212" t="str">
        <v>A</v>
      </c>
      <c r="C212">
        <v>2026</v>
      </c>
      <c r="D212">
        <v>7</v>
      </c>
      <c r="E212" t="str">
        <v>DRAFT</v>
      </c>
      <c r="F212"/>
      <c r="G212"/>
      <c r="H212"/>
      <c r="I212"/>
      <c r="J212"/>
      <c r="K212" s="1">
        <f>IF(E212="FINALIZED",ROUND(F212+G212+H212+I212,0),0)</f>
        <v>0</v>
      </c>
      <c r="L212" s="1">
        <f>IF(E212="FINALIZED",ROUND(F212+G212+H212+I212,0),0)</f>
        <v>0</v>
      </c>
      <c r="M212"/>
      <c r="N212"/>
    </row>
    <row r="213">
      <c r="A213" t="str">
        <v>C18</v>
      </c>
      <c r="B213" t="str">
        <v>A</v>
      </c>
      <c r="C213">
        <v>2026</v>
      </c>
      <c r="D213">
        <v>8</v>
      </c>
      <c r="E213" t="str">
        <v>DRAFT</v>
      </c>
      <c r="F213"/>
      <c r="G213"/>
      <c r="H213"/>
      <c r="I213"/>
      <c r="J213"/>
      <c r="K213" s="1">
        <f>IF(E213="FINALIZED",ROUND(F213+G213+H213+I213,0),0)</f>
        <v>0</v>
      </c>
      <c r="L213" s="1">
        <f>IF(E213="FINALIZED",ROUND(F213+G213+H213+I213,0),0)</f>
        <v>0</v>
      </c>
      <c r="M213"/>
      <c r="N213"/>
    </row>
    <row r="214">
      <c r="A214" t="str">
        <v>C18</v>
      </c>
      <c r="B214" t="str">
        <v>A</v>
      </c>
      <c r="C214">
        <v>2026</v>
      </c>
      <c r="D214">
        <v>9</v>
      </c>
      <c r="E214"/>
      <c r="F214"/>
      <c r="G214"/>
      <c r="H214"/>
      <c r="I214"/>
      <c r="J214"/>
      <c r="K214" s="1">
        <f>IF(E214="FINALIZED",ROUND(F214+G214+H214+I214,0),0)</f>
        <v>0</v>
      </c>
      <c r="L214" s="1">
        <f>IF(E214="FINALIZED",ROUND(F214+G214+H214+I214,0),0)</f>
        <v>0</v>
      </c>
      <c r="M214"/>
      <c r="N214"/>
    </row>
    <row r="215">
      <c r="A215" t="str">
        <v>C18</v>
      </c>
      <c r="B215" t="str">
        <v>A</v>
      </c>
      <c r="C215">
        <v>2026</v>
      </c>
      <c r="D215">
        <v>10</v>
      </c>
      <c r="E215"/>
      <c r="F215"/>
      <c r="G215"/>
      <c r="H215"/>
      <c r="I215"/>
      <c r="J215"/>
      <c r="K215" s="1">
        <f>IF(E215="FINALIZED",ROUND(F215+G215+H215+I215,0),0)</f>
        <v>0</v>
      </c>
      <c r="L215" s="1">
        <f>IF(E215="FINALIZED",ROUND(F215+G215+H215+I215,0),0)</f>
        <v>0</v>
      </c>
      <c r="M215"/>
      <c r="N215"/>
    </row>
    <row r="216">
      <c r="A216" t="str">
        <v>C18</v>
      </c>
      <c r="B216" t="str">
        <v>A</v>
      </c>
      <c r="C216">
        <v>2026</v>
      </c>
      <c r="D216">
        <v>11</v>
      </c>
      <c r="E216"/>
      <c r="F216"/>
      <c r="G216"/>
      <c r="H216"/>
      <c r="I216"/>
      <c r="J216"/>
      <c r="K216" s="1">
        <f>IF(E216="FINALIZED",ROUND(F216+G216+H216+I216,0),0)</f>
        <v>0</v>
      </c>
      <c r="L216" s="1">
        <f>IF(E216="FINALIZED",ROUND(F216+G216+H216+I216,0),0)</f>
        <v>0</v>
      </c>
      <c r="M216"/>
      <c r="N216"/>
    </row>
    <row r="217">
      <c r="A217" t="str">
        <v>C18</v>
      </c>
      <c r="B217" t="str">
        <v>A</v>
      </c>
      <c r="C217">
        <v>2026</v>
      </c>
      <c r="D217">
        <v>12</v>
      </c>
      <c r="E217"/>
      <c r="F217"/>
      <c r="G217"/>
      <c r="H217"/>
      <c r="I217"/>
      <c r="J217"/>
      <c r="K217" s="1">
        <f>IF(E217="FINALIZED",ROUND(F217+G217+H217+I217,0),0)</f>
        <v>0</v>
      </c>
      <c r="L217" s="1">
        <f>IF(E217="FINALIZED",ROUND(F217+G217+H217+I217,0),0)</f>
        <v>0</v>
      </c>
      <c r="M217"/>
      <c r="N217"/>
    </row>
    <row r="218">
      <c r="A218" t="str">
        <v>B01</v>
      </c>
      <c r="B218" t="str">
        <v>B</v>
      </c>
      <c r="C218">
        <v>2026</v>
      </c>
      <c r="D218">
        <v>1</v>
      </c>
      <c r="E218" t="str">
        <v>FINALIZED</v>
      </c>
      <c r="F218" t="n">
        <v>180000.0</v>
      </c>
      <c r="G218" t="n">
        <v>20000.0</v>
      </c>
      <c r="H218"/>
      <c r="I218"/>
      <c r="J218"/>
      <c r="K218" s="1">
        <f>IF(E218="FINALIZED",ROUND(F218+G218+H218+I218,0),0)</f>
        <v>200000</v>
      </c>
      <c r="L218" s="1">
        <f>IF(E218="FINALIZED",ROUND(F218+G218+H218+I218,0),0)</f>
        <v>200000</v>
      </c>
      <c r="M218" t="str">
        <v>PAYSLIP-2026-01</v>
      </c>
      <c r="N218" t="str">
        <v>STAGING-PROVISIONS-2026-R1</v>
      </c>
    </row>
    <row r="219">
      <c r="A219" t="str">
        <v>B01</v>
      </c>
      <c r="B219" t="str">
        <v>B</v>
      </c>
      <c r="C219">
        <v>2026</v>
      </c>
      <c r="D219">
        <v>2</v>
      </c>
      <c r="E219" t="str">
        <v>FINALIZED</v>
      </c>
      <c r="F219" t="n">
        <v>180000.0</v>
      </c>
      <c r="G219" t="n">
        <v>20000.0</v>
      </c>
      <c r="H219"/>
      <c r="I219"/>
      <c r="J219"/>
      <c r="K219" s="1">
        <f>IF(E219="FINALIZED",ROUND(F219+G219+H219+I219,0),0)</f>
        <v>200000</v>
      </c>
      <c r="L219" s="1">
        <f>IF(E219="FINALIZED",ROUND(F219+G219+H219+I219,0),0)</f>
        <v>200000</v>
      </c>
      <c r="M219" t="str">
        <v>PAYSLIP-2026-02</v>
      </c>
      <c r="N219" t="str">
        <v>STAGING-PROVISIONS-2026-R1</v>
      </c>
    </row>
    <row r="220">
      <c r="A220" t="str">
        <v>B01</v>
      </c>
      <c r="B220" t="str">
        <v>B</v>
      </c>
      <c r="C220">
        <v>2026</v>
      </c>
      <c r="D220">
        <v>3</v>
      </c>
      <c r="E220" t="str">
        <v>FINALIZED</v>
      </c>
      <c r="F220" t="n">
        <v>180000.0</v>
      </c>
      <c r="G220" t="n">
        <v>20000.0</v>
      </c>
      <c r="H220"/>
      <c r="I220"/>
      <c r="J220"/>
      <c r="K220" s="1">
        <f>IF(E220="FINALIZED",ROUND(F220+G220+H220+I220,0),0)</f>
        <v>200000</v>
      </c>
      <c r="L220" s="1">
        <f>IF(E220="FINALIZED",ROUND(F220+G220+H220+I220,0),0)</f>
        <v>200000</v>
      </c>
      <c r="M220" t="str">
        <v>PAYSLIP-2026-03</v>
      </c>
      <c r="N220" t="str">
        <v>STAGING-PROVISIONS-2026-R1</v>
      </c>
    </row>
    <row r="221">
      <c r="A221" t="str">
        <v>B01</v>
      </c>
      <c r="B221" t="str">
        <v>B</v>
      </c>
      <c r="C221">
        <v>2026</v>
      </c>
      <c r="D221">
        <v>4</v>
      </c>
      <c r="E221" t="str">
        <v>FINALIZED</v>
      </c>
      <c r="F221" t="n">
        <v>180000.0</v>
      </c>
      <c r="G221" t="n">
        <v>20000.0</v>
      </c>
      <c r="H221"/>
      <c r="I221"/>
      <c r="J221"/>
      <c r="K221" s="1">
        <f>IF(E221="FINALIZED",ROUND(F221+G221+H221+I221,0),0)</f>
        <v>200000</v>
      </c>
      <c r="L221" s="1">
        <f>IF(E221="FINALIZED",ROUND(F221+G221+H221+I221,0),0)</f>
        <v>200000</v>
      </c>
      <c r="M221" t="str">
        <v>PAYSLIP-2026-04</v>
      </c>
      <c r="N221" t="str">
        <v>STAGING-PROVISIONS-2026-R1</v>
      </c>
    </row>
    <row r="222">
      <c r="A222" t="str">
        <v>B01</v>
      </c>
      <c r="B222" t="str">
        <v>B</v>
      </c>
      <c r="C222">
        <v>2026</v>
      </c>
      <c r="D222">
        <v>5</v>
      </c>
      <c r="E222" t="str">
        <v>FINALIZED</v>
      </c>
      <c r="F222" t="n">
        <v>180000.0</v>
      </c>
      <c r="G222" t="n">
        <v>20000.0</v>
      </c>
      <c r="H222"/>
      <c r="I222"/>
      <c r="J222"/>
      <c r="K222" s="1">
        <f>IF(E222="FINALIZED",ROUND(F222+G222+H222+I222,0),0)</f>
        <v>200000</v>
      </c>
      <c r="L222" s="1">
        <f>IF(E222="FINALIZED",ROUND(F222+G222+H222+I222,0),0)</f>
        <v>200000</v>
      </c>
      <c r="M222" t="str">
        <v>PAYSLIP-2026-05</v>
      </c>
      <c r="N222" t="str">
        <v>STAGING-PROVISIONS-2026-R1</v>
      </c>
    </row>
    <row r="223">
      <c r="A223" t="str">
        <v>B01</v>
      </c>
      <c r="B223" t="str">
        <v>B</v>
      </c>
      <c r="C223">
        <v>2026</v>
      </c>
      <c r="D223">
        <v>6</v>
      </c>
      <c r="E223" t="str">
        <v>FINALIZED</v>
      </c>
      <c r="F223" t="n">
        <v>180000.0</v>
      </c>
      <c r="G223" t="n">
        <v>20000.0</v>
      </c>
      <c r="H223"/>
      <c r="I223"/>
      <c r="J223"/>
      <c r="K223" s="1">
        <f>IF(E223="FINALIZED",ROUND(F223+G223+H223+I223,0),0)</f>
        <v>200000</v>
      </c>
      <c r="L223" s="1">
        <f>IF(E223="FINALIZED",ROUND(F223+G223+H223+I223,0),0)</f>
        <v>200000</v>
      </c>
      <c r="M223" t="str">
        <v>PAYSLIP-2026-06</v>
      </c>
      <c r="N223" t="str">
        <v>STAGING-PROVISIONS-2026-R1</v>
      </c>
    </row>
    <row r="224">
      <c r="A224" t="str">
        <v>B01</v>
      </c>
      <c r="B224" t="str">
        <v>B</v>
      </c>
      <c r="C224">
        <v>2026</v>
      </c>
      <c r="D224">
        <v>7</v>
      </c>
      <c r="E224" t="str">
        <v>FINALIZED</v>
      </c>
      <c r="F224" t="n">
        <v>180000.0</v>
      </c>
      <c r="G224" t="n">
        <v>20000.0</v>
      </c>
      <c r="H224"/>
      <c r="I224"/>
      <c r="J224"/>
      <c r="K224" s="1">
        <f>IF(E224="FINALIZED",ROUND(F224+G224+H224+I224,0),0)</f>
        <v>200000</v>
      </c>
      <c r="L224" s="1">
        <f>IF(E224="FINALIZED",ROUND(F224+G224+H224+I224,0),0)</f>
        <v>200000</v>
      </c>
      <c r="M224" t="str">
        <v>PAYSLIP-2026-07</v>
      </c>
      <c r="N224" t="str">
        <v>STAGING-PROVISIONS-2026-R1</v>
      </c>
    </row>
    <row r="225">
      <c r="A225" t="str">
        <v>B01</v>
      </c>
      <c r="B225" t="str">
        <v>B</v>
      </c>
      <c r="C225">
        <v>2026</v>
      </c>
      <c r="D225">
        <v>8</v>
      </c>
      <c r="E225" t="str">
        <v>FINALIZED</v>
      </c>
      <c r="F225" t="n">
        <v>180000.0</v>
      </c>
      <c r="G225" t="n">
        <v>20000.0</v>
      </c>
      <c r="H225"/>
      <c r="I225"/>
      <c r="J225"/>
      <c r="K225" s="1">
        <f>IF(E225="FINALIZED",ROUND(F225+G225+H225+I225,0),0)</f>
        <v>200000</v>
      </c>
      <c r="L225" s="1">
        <f>IF(E225="FINALIZED",ROUND(F225+G225+H225+I225,0),0)</f>
        <v>200000</v>
      </c>
      <c r="M225" t="str">
        <v>PAYSLIP-2026-08</v>
      </c>
      <c r="N225" t="str">
        <v>STAGING-PROVISIONS-2026-R1</v>
      </c>
    </row>
    <row r="226">
      <c r="A226" t="str">
        <v>B01</v>
      </c>
      <c r="B226" t="str">
        <v>B</v>
      </c>
      <c r="C226">
        <v>2026</v>
      </c>
      <c r="D226">
        <v>9</v>
      </c>
      <c r="E226"/>
      <c r="F226"/>
      <c r="G226"/>
      <c r="H226"/>
      <c r="I226"/>
      <c r="J226"/>
      <c r="K226" s="1">
        <f>IF(E226="FINALIZED",ROUND(F226+G226+H226+I226,0),0)</f>
        <v>0</v>
      </c>
      <c r="L226" s="1">
        <f>IF(E226="FINALIZED",ROUND(F226+G226+H226+I226,0),0)</f>
        <v>0</v>
      </c>
      <c r="M226"/>
      <c r="N226"/>
    </row>
    <row r="227">
      <c r="A227" t="str">
        <v>B01</v>
      </c>
      <c r="B227" t="str">
        <v>B</v>
      </c>
      <c r="C227">
        <v>2026</v>
      </c>
      <c r="D227">
        <v>10</v>
      </c>
      <c r="E227"/>
      <c r="F227"/>
      <c r="G227"/>
      <c r="H227"/>
      <c r="I227"/>
      <c r="J227"/>
      <c r="K227" s="1">
        <f>IF(E227="FINALIZED",ROUND(F227+G227+H227+I227,0),0)</f>
        <v>0</v>
      </c>
      <c r="L227" s="1">
        <f>IF(E227="FINALIZED",ROUND(F227+G227+H227+I227,0),0)</f>
        <v>0</v>
      </c>
      <c r="M227"/>
      <c r="N227"/>
    </row>
    <row r="228">
      <c r="A228" t="str">
        <v>B01</v>
      </c>
      <c r="B228" t="str">
        <v>B</v>
      </c>
      <c r="C228">
        <v>2026</v>
      </c>
      <c r="D228">
        <v>11</v>
      </c>
      <c r="E228"/>
      <c r="F228"/>
      <c r="G228"/>
      <c r="H228"/>
      <c r="I228"/>
      <c r="J228"/>
      <c r="K228" s="1">
        <f>IF(E228="FINALIZED",ROUND(F228+G228+H228+I228,0),0)</f>
        <v>0</v>
      </c>
      <c r="L228" s="1">
        <f>IF(E228="FINALIZED",ROUND(F228+G228+H228+I228,0),0)</f>
        <v>0</v>
      </c>
      <c r="M228"/>
      <c r="N228"/>
    </row>
    <row r="229">
      <c r="A229" t="str">
        <v>B01</v>
      </c>
      <c r="B229" t="str">
        <v>B</v>
      </c>
      <c r="C229">
        <v>2026</v>
      </c>
      <c r="D229">
        <v>12</v>
      </c>
      <c r="E229"/>
      <c r="F229"/>
      <c r="G229"/>
      <c r="H229"/>
      <c r="I229"/>
      <c r="J229"/>
      <c r="K229" s="1">
        <f>IF(E229="FINALIZED",ROUND(F229+G229+H229+I229,0),0)</f>
        <v>0</v>
      </c>
      <c r="L229" s="1">
        <f>IF(E229="FINALIZED",ROUND(F229+G229+H229+I229,0),0)</f>
        <v>0</v>
      </c>
      <c r="M229"/>
      <c r="N229"/>
    </row>
    <row r="230">
      <c r="A230" t="str">
        <v>B02</v>
      </c>
      <c r="B230" t="str">
        <v>B</v>
      </c>
      <c r="C230">
        <v>2026</v>
      </c>
      <c r="D230">
        <v>1</v>
      </c>
      <c r="E230" t="str">
        <v>FINALIZED</v>
      </c>
      <c r="F230" t="n">
        <v>190000.0</v>
      </c>
      <c r="G230" t="n">
        <v>25000.0</v>
      </c>
      <c r="H230" t="n">
        <v>15000.0</v>
      </c>
      <c r="I230"/>
      <c r="J230"/>
      <c r="K230" s="1">
        <f>IF(E230="FINALIZED",ROUND(F230+G230+H230+I230,0),0)</f>
        <v>230000</v>
      </c>
      <c r="L230" s="1">
        <f>IF(E230="FINALIZED",ROUND(F230+G230+H230+I230,0),0)</f>
        <v>230000</v>
      </c>
      <c r="M230" t="str">
        <v>PAYSLIP-2026-01</v>
      </c>
      <c r="N230" t="str">
        <v>STAGING-PROVISIONS-2026-R1</v>
      </c>
    </row>
    <row r="231">
      <c r="A231" t="str">
        <v>B02</v>
      </c>
      <c r="B231" t="str">
        <v>B</v>
      </c>
      <c r="C231">
        <v>2026</v>
      </c>
      <c r="D231">
        <v>2</v>
      </c>
      <c r="E231" t="str">
        <v>FINALIZED</v>
      </c>
      <c r="F231" t="n">
        <v>190000.0</v>
      </c>
      <c r="G231" t="n">
        <v>25000.0</v>
      </c>
      <c r="H231" t="n">
        <v>15000.0</v>
      </c>
      <c r="I231"/>
      <c r="J231"/>
      <c r="K231" s="1">
        <f>IF(E231="FINALIZED",ROUND(F231+G231+H231+I231,0),0)</f>
        <v>230000</v>
      </c>
      <c r="L231" s="1">
        <f>IF(E231="FINALIZED",ROUND(F231+G231+H231+I231,0),0)</f>
        <v>230000</v>
      </c>
      <c r="M231" t="str">
        <v>PAYSLIP-2026-02</v>
      </c>
      <c r="N231" t="str">
        <v>STAGING-PROVISIONS-2026-R1</v>
      </c>
    </row>
    <row r="232">
      <c r="A232" t="str">
        <v>B02</v>
      </c>
      <c r="B232" t="str">
        <v>B</v>
      </c>
      <c r="C232">
        <v>2026</v>
      </c>
      <c r="D232">
        <v>3</v>
      </c>
      <c r="E232" t="str">
        <v>FINALIZED</v>
      </c>
      <c r="F232" t="n">
        <v>190000.0</v>
      </c>
      <c r="G232" t="n">
        <v>25000.0</v>
      </c>
      <c r="H232" t="n">
        <v>15000.0</v>
      </c>
      <c r="I232"/>
      <c r="J232"/>
      <c r="K232" s="1">
        <f>IF(E232="FINALIZED",ROUND(F232+G232+H232+I232,0),0)</f>
        <v>230000</v>
      </c>
      <c r="L232" s="1">
        <f>IF(E232="FINALIZED",ROUND(F232+G232+H232+I232,0),0)</f>
        <v>230000</v>
      </c>
      <c r="M232" t="str">
        <v>PAYSLIP-2026-03</v>
      </c>
      <c r="N232" t="str">
        <v>STAGING-PROVISIONS-2026-R1</v>
      </c>
    </row>
    <row r="233">
      <c r="A233" t="str">
        <v>B02</v>
      </c>
      <c r="B233" t="str">
        <v>B</v>
      </c>
      <c r="C233">
        <v>2026</v>
      </c>
      <c r="D233">
        <v>4</v>
      </c>
      <c r="E233" t="str">
        <v>FINALIZED</v>
      </c>
      <c r="F233" t="n">
        <v>190000.0</v>
      </c>
      <c r="G233" t="n">
        <v>25000.0</v>
      </c>
      <c r="H233" t="n">
        <v>15000.0</v>
      </c>
      <c r="I233"/>
      <c r="J233"/>
      <c r="K233" s="1">
        <f>IF(E233="FINALIZED",ROUND(F233+G233+H233+I233,0),0)</f>
        <v>230000</v>
      </c>
      <c r="L233" s="1">
        <f>IF(E233="FINALIZED",ROUND(F233+G233+H233+I233,0),0)</f>
        <v>230000</v>
      </c>
      <c r="M233" t="str">
        <v>PAYSLIP-2026-04</v>
      </c>
      <c r="N233" t="str">
        <v>STAGING-PROVISIONS-2026-R1</v>
      </c>
    </row>
    <row r="234">
      <c r="A234" t="str">
        <v>B02</v>
      </c>
      <c r="B234" t="str">
        <v>B</v>
      </c>
      <c r="C234">
        <v>2026</v>
      </c>
      <c r="D234">
        <v>5</v>
      </c>
      <c r="E234" t="str">
        <v>FINALIZED</v>
      </c>
      <c r="F234" t="n">
        <v>190000.0</v>
      </c>
      <c r="G234" t="n">
        <v>25000.0</v>
      </c>
      <c r="H234" t="n">
        <v>15000.0</v>
      </c>
      <c r="I234"/>
      <c r="J234"/>
      <c r="K234" s="1">
        <f>IF(E234="FINALIZED",ROUND(F234+G234+H234+I234,0),0)</f>
        <v>230000</v>
      </c>
      <c r="L234" s="1">
        <f>IF(E234="FINALIZED",ROUND(F234+G234+H234+I234,0),0)</f>
        <v>230000</v>
      </c>
      <c r="M234" t="str">
        <v>PAYSLIP-2026-05</v>
      </c>
      <c r="N234" t="str">
        <v>STAGING-PROVISIONS-2026-R1</v>
      </c>
    </row>
    <row r="235">
      <c r="A235" t="str">
        <v>B02</v>
      </c>
      <c r="B235" t="str">
        <v>B</v>
      </c>
      <c r="C235">
        <v>2026</v>
      </c>
      <c r="D235">
        <v>6</v>
      </c>
      <c r="E235" t="str">
        <v>FINALIZED</v>
      </c>
      <c r="F235" t="n">
        <v>190000.0</v>
      </c>
      <c r="G235" t="n">
        <v>25000.0</v>
      </c>
      <c r="H235" t="n">
        <v>15000.0</v>
      </c>
      <c r="I235"/>
      <c r="J235"/>
      <c r="K235" s="1">
        <f>IF(E235="FINALIZED",ROUND(F235+G235+H235+I235,0),0)</f>
        <v>230000</v>
      </c>
      <c r="L235" s="1">
        <f>IF(E235="FINALIZED",ROUND(F235+G235+H235+I235,0),0)</f>
        <v>230000</v>
      </c>
      <c r="M235" t="str">
        <v>PAYSLIP-2026-06</v>
      </c>
      <c r="N235" t="str">
        <v>STAGING-PROVISIONS-2026-R1</v>
      </c>
    </row>
    <row r="236">
      <c r="A236" t="str">
        <v>B02</v>
      </c>
      <c r="B236" t="str">
        <v>B</v>
      </c>
      <c r="C236">
        <v>2026</v>
      </c>
      <c r="D236">
        <v>7</v>
      </c>
      <c r="E236" t="str">
        <v>FINALIZED</v>
      </c>
      <c r="F236" t="n">
        <v>190000.0</v>
      </c>
      <c r="G236" t="n">
        <v>25000.0</v>
      </c>
      <c r="H236" t="n">
        <v>15000.0</v>
      </c>
      <c r="I236"/>
      <c r="J236"/>
      <c r="K236" s="1">
        <f>IF(E236="FINALIZED",ROUND(F236+G236+H236+I236,0),0)</f>
        <v>230000</v>
      </c>
      <c r="L236" s="1">
        <f>IF(E236="FINALIZED",ROUND(F236+G236+H236+I236,0),0)</f>
        <v>230000</v>
      </c>
      <c r="M236" t="str">
        <v>PAYSLIP-2026-07</v>
      </c>
      <c r="N236" t="str">
        <v>STAGING-PROVISIONS-2026-R1</v>
      </c>
    </row>
    <row r="237">
      <c r="A237" t="str">
        <v>B02</v>
      </c>
      <c r="B237" t="str">
        <v>B</v>
      </c>
      <c r="C237">
        <v>2026</v>
      </c>
      <c r="D237">
        <v>8</v>
      </c>
      <c r="E237" t="str">
        <v>FINALIZED</v>
      </c>
      <c r="F237" t="n">
        <v>190000.0</v>
      </c>
      <c r="G237" t="n">
        <v>25000.0</v>
      </c>
      <c r="H237" t="n">
        <v>15000.0</v>
      </c>
      <c r="I237"/>
      <c r="J237"/>
      <c r="K237" s="1">
        <f>IF(E237="FINALIZED",ROUND(F237+G237+H237+I237,0),0)</f>
        <v>230000</v>
      </c>
      <c r="L237" s="1">
        <f>IF(E237="FINALIZED",ROUND(F237+G237+H237+I237,0),0)</f>
        <v>230000</v>
      </c>
      <c r="M237" t="str">
        <v>PAYSLIP-2026-08</v>
      </c>
      <c r="N237" t="str">
        <v>STAGING-PROVISIONS-2026-R1</v>
      </c>
    </row>
    <row r="238">
      <c r="A238" t="str">
        <v>B02</v>
      </c>
      <c r="B238" t="str">
        <v>B</v>
      </c>
      <c r="C238">
        <v>2026</v>
      </c>
      <c r="D238">
        <v>9</v>
      </c>
      <c r="E238"/>
      <c r="F238"/>
      <c r="G238"/>
      <c r="H238"/>
      <c r="I238"/>
      <c r="J238"/>
      <c r="K238" s="1">
        <f>IF(E238="FINALIZED",ROUND(F238+G238+H238+I238,0),0)</f>
        <v>0</v>
      </c>
      <c r="L238" s="1">
        <f>IF(E238="FINALIZED",ROUND(F238+G238+H238+I238,0),0)</f>
        <v>0</v>
      </c>
      <c r="M238"/>
      <c r="N238"/>
    </row>
    <row r="239">
      <c r="A239" t="str">
        <v>B02</v>
      </c>
      <c r="B239" t="str">
        <v>B</v>
      </c>
      <c r="C239">
        <v>2026</v>
      </c>
      <c r="D239">
        <v>10</v>
      </c>
      <c r="E239"/>
      <c r="F239"/>
      <c r="G239"/>
      <c r="H239"/>
      <c r="I239"/>
      <c r="J239"/>
      <c r="K239" s="1">
        <f>IF(E239="FINALIZED",ROUND(F239+G239+H239+I239,0),0)</f>
        <v>0</v>
      </c>
      <c r="L239" s="1">
        <f>IF(E239="FINALIZED",ROUND(F239+G239+H239+I239,0),0)</f>
        <v>0</v>
      </c>
      <c r="M239"/>
      <c r="N239"/>
    </row>
    <row r="240">
      <c r="A240" t="str">
        <v>B02</v>
      </c>
      <c r="B240" t="str">
        <v>B</v>
      </c>
      <c r="C240">
        <v>2026</v>
      </c>
      <c r="D240">
        <v>11</v>
      </c>
      <c r="E240"/>
      <c r="F240"/>
      <c r="G240"/>
      <c r="H240"/>
      <c r="I240"/>
      <c r="J240"/>
      <c r="K240" s="1">
        <f>IF(E240="FINALIZED",ROUND(F240+G240+H240+I240,0),0)</f>
        <v>0</v>
      </c>
      <c r="L240" s="1">
        <f>IF(E240="FINALIZED",ROUND(F240+G240+H240+I240,0),0)</f>
        <v>0</v>
      </c>
      <c r="M240"/>
      <c r="N240"/>
    </row>
    <row r="241">
      <c r="A241" t="str">
        <v>B02</v>
      </c>
      <c r="B241" t="str">
        <v>B</v>
      </c>
      <c r="C241">
        <v>2026</v>
      </c>
      <c r="D241">
        <v>12</v>
      </c>
      <c r="E241"/>
      <c r="F241"/>
      <c r="G241"/>
      <c r="H241"/>
      <c r="I241"/>
      <c r="J241"/>
      <c r="K241" s="1">
        <f>IF(E241="FINALIZED",ROUND(F241+G241+H241+I241,0),0)</f>
        <v>0</v>
      </c>
      <c r="L241" s="1">
        <f>IF(E241="FINALIZED",ROUND(F241+G241+H241+I241,0),0)</f>
        <v>0</v>
      </c>
      <c r="M241"/>
      <c r="N241"/>
    </row>
  </sheetData>
  <autoFilter ref="A1:N241"/>
  <ignoredErrors>
    <ignoredError numberStoredAsText="1" sqref="A1:N241"/>
  </ignoredErrors>
</worksheet>
</file>

<file path=xl/worksheets/sheet3.xml><?xml version="1.0" encoding="utf-8"?>
<worksheet xmlns="http://schemas.openxmlformats.org/spreadsheetml/2006/main">
  <dimension ref="A1:AK21"/>
  <sheetViews>
    <sheetView workbookViewId="0"/>
  </sheetViews>
  <cols>
    <col min="1" max="1" width="18.83203125" customWidth="1"/>
    <col min="2" max="2" width="18.83203125" customWidth="1"/>
    <col min="3" max="3" width="45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  <col min="21" max="21" width="18.83203125" customWidth="1"/>
    <col min="22" max="22" width="18.83203125" customWidth="1"/>
    <col min="23" max="23" width="18.83203125" customWidth="1"/>
    <col min="24" max="24" width="18.83203125" customWidth="1"/>
    <col min="25" max="25" width="18.83203125" customWidth="1"/>
    <col min="26" max="26" width="18.83203125" customWidth="1"/>
    <col min="27" max="27" width="18.83203125" customWidth="1"/>
    <col min="28" max="28" width="18.83203125" customWidth="1"/>
    <col min="29" max="29" width="18.83203125" customWidth="1"/>
    <col min="30" max="30" width="18.83203125" customWidth="1"/>
    <col min="31" max="31" width="18.83203125" customWidth="1"/>
    <col min="32" max="32" width="18.83203125" customWidth="1"/>
    <col min="33" max="33" width="18.83203125" customWidth="1"/>
    <col min="34" max="34" width="18.83203125" customWidth="1"/>
    <col min="35" max="35" width="18.83203125" customWidth="1"/>
    <col min="36" max="36" width="42.83203125" customWidth="1"/>
    <col min="37" max="37" width="30.83203125" customWidth="1"/>
  </cols>
  <sheetData>
    <row r="1">
      <c r="A1" t="str">
        <v>Cas</v>
      </c>
      <c r="B1" t="str">
        <v>Tenant</v>
      </c>
      <c r="C1" t="str">
        <v>Scénario</v>
      </c>
      <c r="D1" t="str">
        <v>Matricule validation</v>
      </c>
      <c r="E1" t="str">
        <v>Date embauche</v>
      </c>
      <c r="F1" t="str">
        <v>Date référence</v>
      </c>
      <c r="G1" t="str">
        <v>Ancienneté mois</v>
      </c>
      <c r="H1" t="str">
        <v>Mois service effectif</v>
      </c>
      <c r="I1" t="str">
        <v>Mois paie utilisés</v>
      </c>
      <c r="J1" t="str">
        <v>Salaire contractuel</v>
      </c>
      <c r="K1" t="str">
        <v>Sursalaire contractuel</v>
      </c>
      <c r="L1" t="str">
        <v>Base fallback</v>
      </c>
      <c r="M1" t="str">
        <v>Total rémunération référence</v>
      </c>
      <c r="N1" t="str">
        <v>Salaire mensuel moyen</v>
      </c>
      <c r="O1" t="str">
        <v>Droits base 2,2</v>
      </c>
      <c r="P1" t="str">
        <v>Bonus ancienneté</v>
      </c>
      <c r="Q1" t="str">
        <v>Droits acquis arrondis</v>
      </c>
      <c r="R1" t="str">
        <v>Solde ouverture</v>
      </c>
      <c r="S1" t="str">
        <v>Jours reportés</v>
      </c>
      <c r="T1" t="str">
        <v>Congés consommés</v>
      </c>
      <c r="U1" t="str">
        <v>Congés compensés/payés</v>
      </c>
      <c r="V1" t="str">
        <v>Solde final</v>
      </c>
      <c r="W1" t="str">
        <v>Taux journalier</v>
      </c>
      <c r="X1" t="str">
        <v>Maintien salaire</v>
      </c>
      <c r="Y1" t="str">
        <v>Règle dixième</v>
      </c>
      <c r="Z1" t="str">
        <v>Méthode retenue</v>
      </c>
      <c r="AA1" t="str">
        <v>Provision congés</v>
      </c>
      <c r="AB1" t="str">
        <v>Mois tranche 1</v>
      </c>
      <c r="AC1" t="str">
        <v>Montant tranche 1</v>
      </c>
      <c r="AD1" t="str">
        <v>Mois tranche 2</v>
      </c>
      <c r="AE1" t="str">
        <v>Montant tranche 2</v>
      </c>
      <c r="AF1" t="str">
        <v>Mois tranche 3</v>
      </c>
      <c r="AG1" t="str">
        <v>Montant tranche 3</v>
      </c>
      <c r="AH1" t="str">
        <v>Exposition licenciement</v>
      </c>
      <c r="AI1" t="str">
        <v>Statut attendu</v>
      </c>
      <c r="AJ1" t="str">
        <v>Warning/réserve</v>
      </c>
      <c r="AK1" t="str">
        <v>Source des données</v>
      </c>
    </row>
    <row r="2">
      <c r="A2" t="str">
        <v>C01</v>
      </c>
      <c r="B2" t="str">
        <v>A</v>
      </c>
      <c r="C2" t="str">
        <v>Ancienneté inférieure à un an</v>
      </c>
      <c r="D2" t="str">
        <v>VAL26-A-C01</v>
      </c>
      <c r="E2" t="str">
        <v>2026-02-03</v>
      </c>
      <c r="F2" t="str">
        <v>2026-08-03</v>
      </c>
      <c r="G2" s="2" t="n">
        <v>6</v>
      </c>
      <c r="H2" t="n">
        <v>6.0667</v>
      </c>
      <c r="I2" s="2" t="n">
        <v>6</v>
      </c>
      <c r="J2" t="n">
        <v>200000.0</v>
      </c>
      <c r="K2" t="n">
        <v>50000.0</v>
      </c>
      <c r="L2" s="1">
        <f>ROUND(J2+K2,0)</f>
        <v>250000</v>
      </c>
      <c r="M2" s="1">
        <f>IF(I2=0,L2*12,SUMIFS('Périodes'!$K$2:$K$241,'Périodes'!$A$2:$A$241,A2,'Périodes'!$E$2:$E$241,"FINALIZED"))</f>
        <v>1500000</v>
      </c>
      <c r="N2" s="1">
        <f>IF(I2=0,L2,ROUND(M2/I2,0))</f>
        <v>250000</v>
      </c>
      <c r="O2" s="3">
        <f>ROUND(H2*2.2,2)</f>
        <v>13.35</v>
      </c>
      <c r="P2" s="3">
        <f>IF(G2&gt;=360,8,IF(G2&gt;=300,7,IF(G2&gt;=240,5,IF(G2&gt;=180,3,IF(G2&gt;=120,2,IF(G2&gt;=60,1,0))))))</f>
        <v>0</v>
      </c>
      <c r="Q2" s="3">
        <f>CEILING(O2,1)+P2</f>
        <v>14</v>
      </c>
      <c r="R2" t="n">
        <v>0.0</v>
      </c>
      <c r="S2" t="n">
        <v>0</v>
      </c>
      <c r="T2" t="n">
        <v>0</v>
      </c>
      <c r="U2" t="n">
        <v>0</v>
      </c>
      <c r="V2" s="3">
        <f>ROUND(R2+S2+Q2-T2-U2,2)</f>
        <v>14</v>
      </c>
      <c r="W2" s="1">
        <f>ROUND(N2/26,0)</f>
        <v>9615</v>
      </c>
      <c r="X2" s="1">
        <f>ROUND(MAX(0,V2)*(N2/26),0)</f>
        <v>134615</v>
      </c>
      <c r="Y2" s="1">
        <f>IF(OR(M2=0,Q2=0),0,ROUND(M2*10%*MAX(0,V2)/MAX(Q2,1),0))</f>
        <v>150000</v>
      </c>
      <c r="Z2" t="str">
        <f>IF(Y2&gt;X2,"TENTH","SALARY_MAINTENANCE")</f>
        <v>TENTH</v>
      </c>
      <c r="AA2" s="1">
        <f>MAX(X2,Y2)</f>
        <v>150000</v>
      </c>
      <c r="AB2" s="3">
        <f>IF(G2&lt;12,0,MIN(G2,60))</f>
        <v>0</v>
      </c>
      <c r="AC2" s="1">
        <f>ROUND(N2*(AB2/12)*30%,0)</f>
        <v>0</v>
      </c>
      <c r="AD2" s="3">
        <f>IF(G2&lt;12,0,MAX(0,MIN(G2-60,60)))</f>
        <v>0</v>
      </c>
      <c r="AE2" s="1">
        <f>ROUND(N2*(AD2/12)*35%,0)</f>
        <v>0</v>
      </c>
      <c r="AF2" s="3">
        <f>IF(G2&lt;12,0,MAX(0,G2-120))</f>
        <v>0</v>
      </c>
      <c r="AG2" s="1">
        <f>ROUND(N2*(AF2/12)*40%,0)</f>
        <v>0</v>
      </c>
      <c r="AH2" s="1">
        <f>AC2+AE2+AG2</f>
        <v>0</v>
      </c>
      <c r="AI2" t="str">
        <v>PASS</v>
      </c>
      <c r="AJ2" t="str">
        <v/>
      </c>
      <c r="AK2" t="str">
        <v>STAGING-PROVISIONS-2026-R1</v>
      </c>
    </row>
    <row r="3">
      <c r="A3" t="str">
        <v>C02</v>
      </c>
      <c r="B3" t="str">
        <v>A</v>
      </c>
      <c r="C3" t="str">
        <v>Tranche 30 %</v>
      </c>
      <c r="D3" t="str">
        <v>VAL26-A-C02</v>
      </c>
      <c r="E3" t="str">
        <v>2023-08-03</v>
      </c>
      <c r="F3" t="str">
        <v>2026-08-03</v>
      </c>
      <c r="G3" s="2" t="n">
        <v>36</v>
      </c>
      <c r="H3" t="n">
        <v>7.1667</v>
      </c>
      <c r="I3" s="2" t="n">
        <v>8</v>
      </c>
      <c r="J3" t="n">
        <v>210000.0</v>
      </c>
      <c r="K3" t="n">
        <v>50000.0</v>
      </c>
      <c r="L3" s="1">
        <f>ROUND(J3+K3,0)</f>
        <v>260000</v>
      </c>
      <c r="M3" s="1">
        <f>IF(I3=0,L3*12,SUMIFS('Périodes'!$K$2:$K$241,'Périodes'!$A$2:$A$241,A3,'Périodes'!$E$2:$E$241,"FINALIZED"))</f>
        <v>2080000</v>
      </c>
      <c r="N3" s="1">
        <f>IF(I3=0,L3,ROUND(M3/I3,0))</f>
        <v>260000</v>
      </c>
      <c r="O3" s="3">
        <f>ROUND(H3*2.2,2)</f>
        <v>15.77</v>
      </c>
      <c r="P3" s="3">
        <f>IF(G3&gt;=360,8,IF(G3&gt;=300,7,IF(G3&gt;=240,5,IF(G3&gt;=180,3,IF(G3&gt;=120,2,IF(G3&gt;=60,1,0))))))</f>
        <v>0</v>
      </c>
      <c r="Q3" s="3">
        <f>CEILING(O3,1)+P3</f>
        <v>16</v>
      </c>
      <c r="R3" t="n">
        <v>0.0</v>
      </c>
      <c r="S3" t="n">
        <v>0</v>
      </c>
      <c r="T3" t="n">
        <v>0</v>
      </c>
      <c r="U3" t="n">
        <v>0</v>
      </c>
      <c r="V3" s="3">
        <f>ROUND(R3+S3+Q3-T3-U3,2)</f>
        <v>16</v>
      </c>
      <c r="W3" s="1">
        <f>ROUND(N3/26,0)</f>
        <v>10000</v>
      </c>
      <c r="X3" s="1">
        <f>ROUND(MAX(0,V3)*(N3/26),0)</f>
        <v>160000</v>
      </c>
      <c r="Y3" s="1">
        <f>IF(OR(M3=0,Q3=0),0,ROUND(M3*10%*MAX(0,V3)/MAX(Q3,1),0))</f>
        <v>208000</v>
      </c>
      <c r="Z3" t="str">
        <f>IF(Y3&gt;X3,"TENTH","SALARY_MAINTENANCE")</f>
        <v>TENTH</v>
      </c>
      <c r="AA3" s="1">
        <f>MAX(X3,Y3)</f>
        <v>208000</v>
      </c>
      <c r="AB3" s="3">
        <f>IF(G3&lt;12,0,MIN(G3,60))</f>
        <v>36</v>
      </c>
      <c r="AC3" s="1">
        <f>ROUND(N3*(AB3/12)*30%,0)</f>
        <v>234000</v>
      </c>
      <c r="AD3" s="3">
        <f>IF(G3&lt;12,0,MAX(0,MIN(G3-60,60)))</f>
        <v>0</v>
      </c>
      <c r="AE3" s="1">
        <f>ROUND(N3*(AD3/12)*35%,0)</f>
        <v>0</v>
      </c>
      <c r="AF3" s="3">
        <f>IF(G3&lt;12,0,MAX(0,G3-120))</f>
        <v>0</v>
      </c>
      <c r="AG3" s="1">
        <f>ROUND(N3*(AF3/12)*40%,0)</f>
        <v>0</v>
      </c>
      <c r="AH3" s="1">
        <f>AC3+AE3+AG3</f>
        <v>234000</v>
      </c>
      <c r="AI3" t="str">
        <v>PASS</v>
      </c>
      <c r="AJ3" t="str">
        <v/>
      </c>
      <c r="AK3" t="str">
        <v>STAGING-PROVISIONS-2026-R1</v>
      </c>
    </row>
    <row r="4">
      <c r="A4" t="str">
        <v>C03</v>
      </c>
      <c r="B4" t="str">
        <v>A</v>
      </c>
      <c r="C4" t="str">
        <v>Tranches 30 % et 35 %</v>
      </c>
      <c r="D4" t="str">
        <v>VAL26-A-C03</v>
      </c>
      <c r="E4" t="str">
        <v>2018-08-03</v>
      </c>
      <c r="F4" t="str">
        <v>2026-08-03</v>
      </c>
      <c r="G4" s="2" t="n">
        <v>96</v>
      </c>
      <c r="H4" t="n">
        <v>7.1667</v>
      </c>
      <c r="I4" s="2" t="n">
        <v>8</v>
      </c>
      <c r="J4" t="n">
        <v>220000.0</v>
      </c>
      <c r="K4" t="n">
        <v>60000.0</v>
      </c>
      <c r="L4" s="1">
        <f>ROUND(J4+K4,0)</f>
        <v>280000</v>
      </c>
      <c r="M4" s="1">
        <f>IF(I4=0,L4*12,SUMIFS('Périodes'!$K$2:$K$241,'Périodes'!$A$2:$A$241,A4,'Périodes'!$E$2:$E$241,"FINALIZED"))</f>
        <v>2240000</v>
      </c>
      <c r="N4" s="1">
        <f>IF(I4=0,L4,ROUND(M4/I4,0))</f>
        <v>280000</v>
      </c>
      <c r="O4" s="3">
        <f>ROUND(H4*2.2,2)</f>
        <v>15.77</v>
      </c>
      <c r="P4" s="3">
        <f>IF(G4&gt;=360,8,IF(G4&gt;=300,7,IF(G4&gt;=240,5,IF(G4&gt;=180,3,IF(G4&gt;=120,2,IF(G4&gt;=60,1,0))))))</f>
        <v>1</v>
      </c>
      <c r="Q4" s="3">
        <f>CEILING(O4,1)+P4</f>
        <v>17</v>
      </c>
      <c r="R4" t="n">
        <v>0.0</v>
      </c>
      <c r="S4" t="n">
        <v>0</v>
      </c>
      <c r="T4" t="n">
        <v>0</v>
      </c>
      <c r="U4" t="n">
        <v>0</v>
      </c>
      <c r="V4" s="3">
        <f>ROUND(R4+S4+Q4-T4-U4,2)</f>
        <v>17</v>
      </c>
      <c r="W4" s="1">
        <f>ROUND(N4/26,0)</f>
        <v>10769</v>
      </c>
      <c r="X4" s="1">
        <f>ROUND(MAX(0,V4)*(N4/26),0)</f>
        <v>183077</v>
      </c>
      <c r="Y4" s="1">
        <f>IF(OR(M4=0,Q4=0),0,ROUND(M4*10%*MAX(0,V4)/MAX(Q4,1),0))</f>
        <v>224000</v>
      </c>
      <c r="Z4" t="str">
        <f>IF(Y4&gt;X4,"TENTH","SALARY_MAINTENANCE")</f>
        <v>TENTH</v>
      </c>
      <c r="AA4" s="1">
        <f>MAX(X4,Y4)</f>
        <v>224000</v>
      </c>
      <c r="AB4" s="3">
        <f>IF(G4&lt;12,0,MIN(G4,60))</f>
        <v>60</v>
      </c>
      <c r="AC4" s="1">
        <f>ROUND(N4*(AB4/12)*30%,0)</f>
        <v>420000</v>
      </c>
      <c r="AD4" s="3">
        <f>IF(G4&lt;12,0,MAX(0,MIN(G4-60,60)))</f>
        <v>36</v>
      </c>
      <c r="AE4" s="1">
        <f>ROUND(N4*(AD4/12)*35%,0)</f>
        <v>294000</v>
      </c>
      <c r="AF4" s="3">
        <f>IF(G4&lt;12,0,MAX(0,G4-120))</f>
        <v>0</v>
      </c>
      <c r="AG4" s="1">
        <f>ROUND(N4*(AF4/12)*40%,0)</f>
        <v>0</v>
      </c>
      <c r="AH4" s="1">
        <f>AC4+AE4+AG4</f>
        <v>714000</v>
      </c>
      <c r="AI4" t="str">
        <v>PASS</v>
      </c>
      <c r="AJ4" t="str">
        <v/>
      </c>
      <c r="AK4" t="str">
        <v>STAGING-PROVISIONS-2026-R1</v>
      </c>
    </row>
    <row r="5">
      <c r="A5" t="str">
        <v>C04</v>
      </c>
      <c r="B5" t="str">
        <v>A</v>
      </c>
      <c r="C5" t="str">
        <v>Tranches 30 %, 35 % et 40 %</v>
      </c>
      <c r="D5" t="str">
        <v>VAL26-A-C04</v>
      </c>
      <c r="E5" t="str">
        <v>2011-08-03</v>
      </c>
      <c r="F5" t="str">
        <v>2026-08-03</v>
      </c>
      <c r="G5" s="2" t="n">
        <v>180</v>
      </c>
      <c r="H5" t="n">
        <v>7.1667</v>
      </c>
      <c r="I5" s="2" t="n">
        <v>8</v>
      </c>
      <c r="J5" t="n">
        <v>240000.0</v>
      </c>
      <c r="K5" t="n">
        <v>60000.0</v>
      </c>
      <c r="L5" s="1">
        <f>ROUND(J5+K5,0)</f>
        <v>300000</v>
      </c>
      <c r="M5" s="1">
        <f>IF(I5=0,L5*12,SUMIFS('Périodes'!$K$2:$K$241,'Périodes'!$A$2:$A$241,A5,'Périodes'!$E$2:$E$241,"FINALIZED"))</f>
        <v>2400000</v>
      </c>
      <c r="N5" s="1">
        <f>IF(I5=0,L5,ROUND(M5/I5,0))</f>
        <v>300000</v>
      </c>
      <c r="O5" s="3">
        <f>ROUND(H5*2.2,2)</f>
        <v>15.77</v>
      </c>
      <c r="P5" s="3">
        <f>IF(G5&gt;=360,8,IF(G5&gt;=300,7,IF(G5&gt;=240,5,IF(G5&gt;=180,3,IF(G5&gt;=120,2,IF(G5&gt;=60,1,0))))))</f>
        <v>3</v>
      </c>
      <c r="Q5" s="3">
        <f>CEILING(O5,1)+P5</f>
        <v>19</v>
      </c>
      <c r="R5" t="n">
        <v>0.0</v>
      </c>
      <c r="S5" t="n">
        <v>0</v>
      </c>
      <c r="T5" t="n">
        <v>0</v>
      </c>
      <c r="U5" t="n">
        <v>0</v>
      </c>
      <c r="V5" s="3">
        <f>ROUND(R5+S5+Q5-T5-U5,2)</f>
        <v>19</v>
      </c>
      <c r="W5" s="1">
        <f>ROUND(N5/26,0)</f>
        <v>11538</v>
      </c>
      <c r="X5" s="1">
        <f>ROUND(MAX(0,V5)*(N5/26),0)</f>
        <v>219231</v>
      </c>
      <c r="Y5" s="1">
        <f>IF(OR(M5=0,Q5=0),0,ROUND(M5*10%*MAX(0,V5)/MAX(Q5,1),0))</f>
        <v>240000</v>
      </c>
      <c r="Z5" t="str">
        <f>IF(Y5&gt;X5,"TENTH","SALARY_MAINTENANCE")</f>
        <v>TENTH</v>
      </c>
      <c r="AA5" s="1">
        <f>MAX(X5,Y5)</f>
        <v>240000</v>
      </c>
      <c r="AB5" s="3">
        <f>IF(G5&lt;12,0,MIN(G5,60))</f>
        <v>60</v>
      </c>
      <c r="AC5" s="1">
        <f>ROUND(N5*(AB5/12)*30%,0)</f>
        <v>450000</v>
      </c>
      <c r="AD5" s="3">
        <f>IF(G5&lt;12,0,MAX(0,MIN(G5-60,60)))</f>
        <v>60</v>
      </c>
      <c r="AE5" s="1">
        <f>ROUND(N5*(AD5/12)*35%,0)</f>
        <v>525000</v>
      </c>
      <c r="AF5" s="3">
        <f>IF(G5&lt;12,0,MAX(0,G5-120))</f>
        <v>60</v>
      </c>
      <c r="AG5" s="1">
        <f>ROUND(N5*(AF5/12)*40%,0)</f>
        <v>600000</v>
      </c>
      <c r="AH5" s="1">
        <f>AC5+AE5+AG5</f>
        <v>1575000</v>
      </c>
      <c r="AI5" t="str">
        <v>PASS</v>
      </c>
      <c r="AJ5" t="str">
        <v/>
      </c>
      <c r="AK5" t="str">
        <v>STAGING-PROVISIONS-2026-R1</v>
      </c>
    </row>
    <row r="6">
      <c r="A6" t="str">
        <v>C05</v>
      </c>
      <c r="B6" t="str">
        <v>A</v>
      </c>
      <c r="C6" t="str">
        <v>Bonus ancienneté 5 ans</v>
      </c>
      <c r="D6" t="str">
        <v>VAL26-A-C05</v>
      </c>
      <c r="E6" t="str">
        <v>2021-08-03</v>
      </c>
      <c r="F6" t="str">
        <v>2026-08-03</v>
      </c>
      <c r="G6" s="2" t="n">
        <v>60</v>
      </c>
      <c r="H6" t="n">
        <v>7.1667</v>
      </c>
      <c r="I6" s="2" t="n">
        <v>8</v>
      </c>
      <c r="J6" t="n">
        <v>200000.0</v>
      </c>
      <c r="K6" t="n">
        <v>40000.0</v>
      </c>
      <c r="L6" s="1">
        <f>ROUND(J6+K6,0)</f>
        <v>240000</v>
      </c>
      <c r="M6" s="1">
        <f>IF(I6=0,L6*12,SUMIFS('Périodes'!$K$2:$K$241,'Périodes'!$A$2:$A$241,A6,'Périodes'!$E$2:$E$241,"FINALIZED"))</f>
        <v>1920000</v>
      </c>
      <c r="N6" s="1">
        <f>IF(I6=0,L6,ROUND(M6/I6,0))</f>
        <v>240000</v>
      </c>
      <c r="O6" s="3">
        <f>ROUND(H6*2.2,2)</f>
        <v>15.77</v>
      </c>
      <c r="P6" s="3">
        <f>IF(G6&gt;=360,8,IF(G6&gt;=300,7,IF(G6&gt;=240,5,IF(G6&gt;=180,3,IF(G6&gt;=120,2,IF(G6&gt;=60,1,0))))))</f>
        <v>1</v>
      </c>
      <c r="Q6" s="3">
        <f>CEILING(O6,1)+P6</f>
        <v>17</v>
      </c>
      <c r="R6" t="n">
        <v>0.0</v>
      </c>
      <c r="S6" t="n">
        <v>0</v>
      </c>
      <c r="T6" t="n">
        <v>0</v>
      </c>
      <c r="U6" t="n">
        <v>0</v>
      </c>
      <c r="V6" s="3">
        <f>ROUND(R6+S6+Q6-T6-U6,2)</f>
        <v>17</v>
      </c>
      <c r="W6" s="1">
        <f>ROUND(N6/26,0)</f>
        <v>9231</v>
      </c>
      <c r="X6" s="1">
        <f>ROUND(MAX(0,V6)*(N6/26),0)</f>
        <v>156923</v>
      </c>
      <c r="Y6" s="1">
        <f>IF(OR(M6=0,Q6=0),0,ROUND(M6*10%*MAX(0,V6)/MAX(Q6,1),0))</f>
        <v>192000</v>
      </c>
      <c r="Z6" t="str">
        <f>IF(Y6&gt;X6,"TENTH","SALARY_MAINTENANCE")</f>
        <v>TENTH</v>
      </c>
      <c r="AA6" s="1">
        <f>MAX(X6,Y6)</f>
        <v>192000</v>
      </c>
      <c r="AB6" s="3">
        <f>IF(G6&lt;12,0,MIN(G6,60))</f>
        <v>60</v>
      </c>
      <c r="AC6" s="1">
        <f>ROUND(N6*(AB6/12)*30%,0)</f>
        <v>360000</v>
      </c>
      <c r="AD6" s="3">
        <f>IF(G6&lt;12,0,MAX(0,MIN(G6-60,60)))</f>
        <v>0</v>
      </c>
      <c r="AE6" s="1">
        <f>ROUND(N6*(AD6/12)*35%,0)</f>
        <v>0</v>
      </c>
      <c r="AF6" s="3">
        <f>IF(G6&lt;12,0,MAX(0,G6-120))</f>
        <v>0</v>
      </c>
      <c r="AG6" s="1">
        <f>ROUND(N6*(AF6/12)*40%,0)</f>
        <v>0</v>
      </c>
      <c r="AH6" s="1">
        <f>AC6+AE6+AG6</f>
        <v>360000</v>
      </c>
      <c r="AI6" t="str">
        <v>PASS</v>
      </c>
      <c r="AJ6" t="str">
        <v/>
      </c>
      <c r="AK6" t="str">
        <v>STAGING-PROVISIONS-2026-R1</v>
      </c>
    </row>
    <row r="7">
      <c r="A7" t="str">
        <v>C06</v>
      </c>
      <c r="B7" t="str">
        <v>A</v>
      </c>
      <c r="C7" t="str">
        <v>Bonus ancienneté 10 ans</v>
      </c>
      <c r="D7" t="str">
        <v>VAL26-A-C06</v>
      </c>
      <c r="E7" t="str">
        <v>2016-08-03</v>
      </c>
      <c r="F7" t="str">
        <v>2026-08-03</v>
      </c>
      <c r="G7" s="2" t="n">
        <v>120</v>
      </c>
      <c r="H7" t="n">
        <v>7.1667</v>
      </c>
      <c r="I7" s="2" t="n">
        <v>8</v>
      </c>
      <c r="J7" t="n">
        <v>205000.0</v>
      </c>
      <c r="K7" t="n">
        <v>40000.0</v>
      </c>
      <c r="L7" s="1">
        <f>ROUND(J7+K7,0)</f>
        <v>245000</v>
      </c>
      <c r="M7" s="1">
        <f>IF(I7=0,L7*12,SUMIFS('Périodes'!$K$2:$K$241,'Périodes'!$A$2:$A$241,A7,'Périodes'!$E$2:$E$241,"FINALIZED"))</f>
        <v>1960000</v>
      </c>
      <c r="N7" s="1">
        <f>IF(I7=0,L7,ROUND(M7/I7,0))</f>
        <v>245000</v>
      </c>
      <c r="O7" s="3">
        <f>ROUND(H7*2.2,2)</f>
        <v>15.77</v>
      </c>
      <c r="P7" s="3">
        <f>IF(G7&gt;=360,8,IF(G7&gt;=300,7,IF(G7&gt;=240,5,IF(G7&gt;=180,3,IF(G7&gt;=120,2,IF(G7&gt;=60,1,0))))))</f>
        <v>2</v>
      </c>
      <c r="Q7" s="3">
        <f>CEILING(O7,1)+P7</f>
        <v>18</v>
      </c>
      <c r="R7" t="n">
        <v>0.0</v>
      </c>
      <c r="S7" t="n">
        <v>0</v>
      </c>
      <c r="T7" t="n">
        <v>0</v>
      </c>
      <c r="U7" t="n">
        <v>0</v>
      </c>
      <c r="V7" s="3">
        <f>ROUND(R7+S7+Q7-T7-U7,2)</f>
        <v>18</v>
      </c>
      <c r="W7" s="1">
        <f>ROUND(N7/26,0)</f>
        <v>9423</v>
      </c>
      <c r="X7" s="1">
        <f>ROUND(MAX(0,V7)*(N7/26),0)</f>
        <v>169615</v>
      </c>
      <c r="Y7" s="1">
        <f>IF(OR(M7=0,Q7=0),0,ROUND(M7*10%*MAX(0,V7)/MAX(Q7,1),0))</f>
        <v>196000</v>
      </c>
      <c r="Z7" t="str">
        <f>IF(Y7&gt;X7,"TENTH","SALARY_MAINTENANCE")</f>
        <v>TENTH</v>
      </c>
      <c r="AA7" s="1">
        <f>MAX(X7,Y7)</f>
        <v>196000</v>
      </c>
      <c r="AB7" s="3">
        <f>IF(G7&lt;12,0,MIN(G7,60))</f>
        <v>60</v>
      </c>
      <c r="AC7" s="1">
        <f>ROUND(N7*(AB7/12)*30%,0)</f>
        <v>367500</v>
      </c>
      <c r="AD7" s="3">
        <f>IF(G7&lt;12,0,MAX(0,MIN(G7-60,60)))</f>
        <v>60</v>
      </c>
      <c r="AE7" s="1">
        <f>ROUND(N7*(AD7/12)*35%,0)</f>
        <v>428750</v>
      </c>
      <c r="AF7" s="3">
        <f>IF(G7&lt;12,0,MAX(0,G7-120))</f>
        <v>0</v>
      </c>
      <c r="AG7" s="1">
        <f>ROUND(N7*(AF7/12)*40%,0)</f>
        <v>0</v>
      </c>
      <c r="AH7" s="1">
        <f>AC7+AE7+AG7</f>
        <v>796250</v>
      </c>
      <c r="AI7" t="str">
        <v>PASS</v>
      </c>
      <c r="AJ7" t="str">
        <v/>
      </c>
      <c r="AK7" t="str">
        <v>STAGING-PROVISIONS-2026-R1</v>
      </c>
    </row>
    <row r="8">
      <c r="A8" t="str">
        <v>C07</v>
      </c>
      <c r="B8" t="str">
        <v>A</v>
      </c>
      <c r="C8" t="str">
        <v>Bonus ancienneté 15 ans</v>
      </c>
      <c r="D8" t="str">
        <v>VAL26-A-C07</v>
      </c>
      <c r="E8" t="str">
        <v>2011-08-03</v>
      </c>
      <c r="F8" t="str">
        <v>2026-08-03</v>
      </c>
      <c r="G8" s="2" t="n">
        <v>180</v>
      </c>
      <c r="H8" t="n">
        <v>7.1667</v>
      </c>
      <c r="I8" s="2" t="n">
        <v>8</v>
      </c>
      <c r="J8" t="n">
        <v>210000.0</v>
      </c>
      <c r="K8" t="n">
        <v>40000.0</v>
      </c>
      <c r="L8" s="1">
        <f>ROUND(J8+K8,0)</f>
        <v>250000</v>
      </c>
      <c r="M8" s="1">
        <f>IF(I8=0,L8*12,SUMIFS('Périodes'!$K$2:$K$241,'Périodes'!$A$2:$A$241,A8,'Périodes'!$E$2:$E$241,"FINALIZED"))</f>
        <v>2000000</v>
      </c>
      <c r="N8" s="1">
        <f>IF(I8=0,L8,ROUND(M8/I8,0))</f>
        <v>250000</v>
      </c>
      <c r="O8" s="3">
        <f>ROUND(H8*2.2,2)</f>
        <v>15.77</v>
      </c>
      <c r="P8" s="3">
        <f>IF(G8&gt;=360,8,IF(G8&gt;=300,7,IF(G8&gt;=240,5,IF(G8&gt;=180,3,IF(G8&gt;=120,2,IF(G8&gt;=60,1,0))))))</f>
        <v>3</v>
      </c>
      <c r="Q8" s="3">
        <f>CEILING(O8,1)+P8</f>
        <v>19</v>
      </c>
      <c r="R8" t="n">
        <v>0.0</v>
      </c>
      <c r="S8" t="n">
        <v>0</v>
      </c>
      <c r="T8" t="n">
        <v>0</v>
      </c>
      <c r="U8" t="n">
        <v>0</v>
      </c>
      <c r="V8" s="3">
        <f>ROUND(R8+S8+Q8-T8-U8,2)</f>
        <v>19</v>
      </c>
      <c r="W8" s="1">
        <f>ROUND(N8/26,0)</f>
        <v>9615</v>
      </c>
      <c r="X8" s="1">
        <f>ROUND(MAX(0,V8)*(N8/26),0)</f>
        <v>182692</v>
      </c>
      <c r="Y8" s="1">
        <f>IF(OR(M8=0,Q8=0),0,ROUND(M8*10%*MAX(0,V8)/MAX(Q8,1),0))</f>
        <v>200000</v>
      </c>
      <c r="Z8" t="str">
        <f>IF(Y8&gt;X8,"TENTH","SALARY_MAINTENANCE")</f>
        <v>TENTH</v>
      </c>
      <c r="AA8" s="1">
        <f>MAX(X8,Y8)</f>
        <v>200000</v>
      </c>
      <c r="AB8" s="3">
        <f>IF(G8&lt;12,0,MIN(G8,60))</f>
        <v>60</v>
      </c>
      <c r="AC8" s="1">
        <f>ROUND(N8*(AB8/12)*30%,0)</f>
        <v>375000</v>
      </c>
      <c r="AD8" s="3">
        <f>IF(G8&lt;12,0,MAX(0,MIN(G8-60,60)))</f>
        <v>60</v>
      </c>
      <c r="AE8" s="1">
        <f>ROUND(N8*(AD8/12)*35%,0)</f>
        <v>437500</v>
      </c>
      <c r="AF8" s="3">
        <f>IF(G8&lt;12,0,MAX(0,G8-120))</f>
        <v>60</v>
      </c>
      <c r="AG8" s="1">
        <f>ROUND(N8*(AF8/12)*40%,0)</f>
        <v>500000</v>
      </c>
      <c r="AH8" s="1">
        <f>AC8+AE8+AG8</f>
        <v>1312500</v>
      </c>
      <c r="AI8" t="str">
        <v>PASS</v>
      </c>
      <c r="AJ8" t="str">
        <v/>
      </c>
      <c r="AK8" t="str">
        <v>STAGING-PROVISIONS-2026-R1</v>
      </c>
    </row>
    <row r="9">
      <c r="A9" t="str">
        <v>C08</v>
      </c>
      <c r="B9" t="str">
        <v>A</v>
      </c>
      <c r="C9" t="str">
        <v>Bonus ancienneté 20 ans</v>
      </c>
      <c r="D9" t="str">
        <v>VAL26-A-C08</v>
      </c>
      <c r="E9" t="str">
        <v>2006-08-03</v>
      </c>
      <c r="F9" t="str">
        <v>2026-08-03</v>
      </c>
      <c r="G9" s="2" t="n">
        <v>240</v>
      </c>
      <c r="H9" t="n">
        <v>7.1667</v>
      </c>
      <c r="I9" s="2" t="n">
        <v>8</v>
      </c>
      <c r="J9" t="n">
        <v>215000.0</v>
      </c>
      <c r="K9" t="n">
        <v>40000.0</v>
      </c>
      <c r="L9" s="1">
        <f>ROUND(J9+K9,0)</f>
        <v>255000</v>
      </c>
      <c r="M9" s="1">
        <f>IF(I9=0,L9*12,SUMIFS('Périodes'!$K$2:$K$241,'Périodes'!$A$2:$A$241,A9,'Périodes'!$E$2:$E$241,"FINALIZED"))</f>
        <v>2040000</v>
      </c>
      <c r="N9" s="1">
        <f>IF(I9=0,L9,ROUND(M9/I9,0))</f>
        <v>255000</v>
      </c>
      <c r="O9" s="3">
        <f>ROUND(H9*2.2,2)</f>
        <v>15.77</v>
      </c>
      <c r="P9" s="3">
        <f>IF(G9&gt;=360,8,IF(G9&gt;=300,7,IF(G9&gt;=240,5,IF(G9&gt;=180,3,IF(G9&gt;=120,2,IF(G9&gt;=60,1,0))))))</f>
        <v>5</v>
      </c>
      <c r="Q9" s="3">
        <f>CEILING(O9,1)+P9</f>
        <v>21</v>
      </c>
      <c r="R9" t="n">
        <v>0.0</v>
      </c>
      <c r="S9" t="n">
        <v>0</v>
      </c>
      <c r="T9" t="n">
        <v>0</v>
      </c>
      <c r="U9" t="n">
        <v>0</v>
      </c>
      <c r="V9" s="3">
        <f>ROUND(R9+S9+Q9-T9-U9,2)</f>
        <v>21</v>
      </c>
      <c r="W9" s="1">
        <f>ROUND(N9/26,0)</f>
        <v>9808</v>
      </c>
      <c r="X9" s="1">
        <f>ROUND(MAX(0,V9)*(N9/26),0)</f>
        <v>205962</v>
      </c>
      <c r="Y9" s="1">
        <f>IF(OR(M9=0,Q9=0),0,ROUND(M9*10%*MAX(0,V9)/MAX(Q9,1),0))</f>
        <v>204000</v>
      </c>
      <c r="Z9" t="str">
        <f>IF(Y9&gt;X9,"TENTH","SALARY_MAINTENANCE")</f>
        <v>SALARY_MAINTENANCE</v>
      </c>
      <c r="AA9" s="1">
        <f>MAX(X9,Y9)</f>
        <v>205962</v>
      </c>
      <c r="AB9" s="3">
        <f>IF(G9&lt;12,0,MIN(G9,60))</f>
        <v>60</v>
      </c>
      <c r="AC9" s="1">
        <f>ROUND(N9*(AB9/12)*30%,0)</f>
        <v>382500</v>
      </c>
      <c r="AD9" s="3">
        <f>IF(G9&lt;12,0,MAX(0,MIN(G9-60,60)))</f>
        <v>60</v>
      </c>
      <c r="AE9" s="1">
        <f>ROUND(N9*(AD9/12)*35%,0)</f>
        <v>446250</v>
      </c>
      <c r="AF9" s="3">
        <f>IF(G9&lt;12,0,MAX(0,G9-120))</f>
        <v>120</v>
      </c>
      <c r="AG9" s="1">
        <f>ROUND(N9*(AF9/12)*40%,0)</f>
        <v>1020000</v>
      </c>
      <c r="AH9" s="1">
        <f>AC9+AE9+AG9</f>
        <v>1848750</v>
      </c>
      <c r="AI9" t="str">
        <v>PASS</v>
      </c>
      <c r="AJ9" t="str">
        <v/>
      </c>
      <c r="AK9" t="str">
        <v>STAGING-PROVISIONS-2026-R1</v>
      </c>
    </row>
    <row r="10">
      <c r="A10" t="str">
        <v>C09</v>
      </c>
      <c r="B10" t="str">
        <v>A</v>
      </c>
      <c r="C10" t="str">
        <v>Bonus ancienneté 25 ans</v>
      </c>
      <c r="D10" t="str">
        <v>VAL26-A-C09</v>
      </c>
      <c r="E10" t="str">
        <v>2001-08-03</v>
      </c>
      <c r="F10" t="str">
        <v>2026-08-03</v>
      </c>
      <c r="G10" s="2" t="n">
        <v>300</v>
      </c>
      <c r="H10" t="n">
        <v>7.1667</v>
      </c>
      <c r="I10" s="2" t="n">
        <v>8</v>
      </c>
      <c r="J10" t="n">
        <v>220000.0</v>
      </c>
      <c r="K10" t="n">
        <v>40000.0</v>
      </c>
      <c r="L10" s="1">
        <f>ROUND(J10+K10,0)</f>
        <v>260000</v>
      </c>
      <c r="M10" s="1">
        <f>IF(I10=0,L10*12,SUMIFS('Périodes'!$K$2:$K$241,'Périodes'!$A$2:$A$241,A10,'Périodes'!$E$2:$E$241,"FINALIZED"))</f>
        <v>2080000</v>
      </c>
      <c r="N10" s="1">
        <f>IF(I10=0,L10,ROUND(M10/I10,0))</f>
        <v>260000</v>
      </c>
      <c r="O10" s="3">
        <f>ROUND(H10*2.2,2)</f>
        <v>15.77</v>
      </c>
      <c r="P10" s="3">
        <f>IF(G10&gt;=360,8,IF(G10&gt;=300,7,IF(G10&gt;=240,5,IF(G10&gt;=180,3,IF(G10&gt;=120,2,IF(G10&gt;=60,1,0))))))</f>
        <v>7</v>
      </c>
      <c r="Q10" s="3">
        <f>CEILING(O10,1)+P10</f>
        <v>23</v>
      </c>
      <c r="R10" t="n">
        <v>0.0</v>
      </c>
      <c r="S10" t="n">
        <v>0</v>
      </c>
      <c r="T10" t="n">
        <v>0</v>
      </c>
      <c r="U10" t="n">
        <v>0</v>
      </c>
      <c r="V10" s="3">
        <f>ROUND(R10+S10+Q10-T10-U10,2)</f>
        <v>23</v>
      </c>
      <c r="W10" s="1">
        <f>ROUND(N10/26,0)</f>
        <v>10000</v>
      </c>
      <c r="X10" s="1">
        <f>ROUND(MAX(0,V10)*(N10/26),0)</f>
        <v>230000</v>
      </c>
      <c r="Y10" s="1">
        <f>IF(OR(M10=0,Q10=0),0,ROUND(M10*10%*MAX(0,V10)/MAX(Q10,1),0))</f>
        <v>208000</v>
      </c>
      <c r="Z10" t="str">
        <f>IF(Y10&gt;X10,"TENTH","SALARY_MAINTENANCE")</f>
        <v>SALARY_MAINTENANCE</v>
      </c>
      <c r="AA10" s="1">
        <f>MAX(X10,Y10)</f>
        <v>230000</v>
      </c>
      <c r="AB10" s="3">
        <f>IF(G10&lt;12,0,MIN(G10,60))</f>
        <v>60</v>
      </c>
      <c r="AC10" s="1">
        <f>ROUND(N10*(AB10/12)*30%,0)</f>
        <v>390000</v>
      </c>
      <c r="AD10" s="3">
        <f>IF(G10&lt;12,0,MAX(0,MIN(G10-60,60)))</f>
        <v>60</v>
      </c>
      <c r="AE10" s="1">
        <f>ROUND(N10*(AD10/12)*35%,0)</f>
        <v>455000</v>
      </c>
      <c r="AF10" s="3">
        <f>IF(G10&lt;12,0,MAX(0,G10-120))</f>
        <v>180</v>
      </c>
      <c r="AG10" s="1">
        <f>ROUND(N10*(AF10/12)*40%,0)</f>
        <v>1560000</v>
      </c>
      <c r="AH10" s="1">
        <f>AC10+AE10+AG10</f>
        <v>2405000</v>
      </c>
      <c r="AI10" t="str">
        <v>PASS</v>
      </c>
      <c r="AJ10" t="str">
        <v/>
      </c>
      <c r="AK10" t="str">
        <v>STAGING-PROVISIONS-2026-R1</v>
      </c>
    </row>
    <row r="11">
      <c r="A11" t="str">
        <v>C10</v>
      </c>
      <c r="B11" t="str">
        <v>A</v>
      </c>
      <c r="C11" t="str">
        <v>Bonus ancienneté 30 ans</v>
      </c>
      <c r="D11" t="str">
        <v>VAL26-A-C10</v>
      </c>
      <c r="E11" t="str">
        <v>1996-08-03</v>
      </c>
      <c r="F11" t="str">
        <v>2026-08-03</v>
      </c>
      <c r="G11" s="2" t="n">
        <v>360</v>
      </c>
      <c r="H11" t="n">
        <v>7.1667</v>
      </c>
      <c r="I11" s="2" t="n">
        <v>8</v>
      </c>
      <c r="J11" t="n">
        <v>225000.0</v>
      </c>
      <c r="K11" t="n">
        <v>40000.0</v>
      </c>
      <c r="L11" s="1">
        <f>ROUND(J11+K11,0)</f>
        <v>265000</v>
      </c>
      <c r="M11" s="1">
        <f>IF(I11=0,L11*12,SUMIFS('Périodes'!$K$2:$K$241,'Périodes'!$A$2:$A$241,A11,'Périodes'!$E$2:$E$241,"FINALIZED"))</f>
        <v>2120000</v>
      </c>
      <c r="N11" s="1">
        <f>IF(I11=0,L11,ROUND(M11/I11,0))</f>
        <v>265000</v>
      </c>
      <c r="O11" s="3">
        <f>ROUND(H11*2.2,2)</f>
        <v>15.77</v>
      </c>
      <c r="P11" s="3">
        <f>IF(G11&gt;=360,8,IF(G11&gt;=300,7,IF(G11&gt;=240,5,IF(G11&gt;=180,3,IF(G11&gt;=120,2,IF(G11&gt;=60,1,0))))))</f>
        <v>8</v>
      </c>
      <c r="Q11" s="3">
        <f>CEILING(O11,1)+P11</f>
        <v>24</v>
      </c>
      <c r="R11" t="n">
        <v>0.0</v>
      </c>
      <c r="S11" t="n">
        <v>0</v>
      </c>
      <c r="T11" t="n">
        <v>0</v>
      </c>
      <c r="U11" t="n">
        <v>0</v>
      </c>
      <c r="V11" s="3">
        <f>ROUND(R11+S11+Q11-T11-U11,2)</f>
        <v>24</v>
      </c>
      <c r="W11" s="1">
        <f>ROUND(N11/26,0)</f>
        <v>10192</v>
      </c>
      <c r="X11" s="1">
        <f>ROUND(MAX(0,V11)*(N11/26),0)</f>
        <v>244615</v>
      </c>
      <c r="Y11" s="1">
        <f>IF(OR(M11=0,Q11=0),0,ROUND(M11*10%*MAX(0,V11)/MAX(Q11,1),0))</f>
        <v>212000</v>
      </c>
      <c r="Z11" t="str">
        <f>IF(Y11&gt;X11,"TENTH","SALARY_MAINTENANCE")</f>
        <v>SALARY_MAINTENANCE</v>
      </c>
      <c r="AA11" s="1">
        <f>MAX(X11,Y11)</f>
        <v>244615</v>
      </c>
      <c r="AB11" s="3">
        <f>IF(G11&lt;12,0,MIN(G11,60))</f>
        <v>60</v>
      </c>
      <c r="AC11" s="1">
        <f>ROUND(N11*(AB11/12)*30%,0)</f>
        <v>397500</v>
      </c>
      <c r="AD11" s="3">
        <f>IF(G11&lt;12,0,MAX(0,MIN(G11-60,60)))</f>
        <v>60</v>
      </c>
      <c r="AE11" s="1">
        <f>ROUND(N11*(AD11/12)*35%,0)</f>
        <v>463750</v>
      </c>
      <c r="AF11" s="3">
        <f>IF(G11&lt;12,0,MAX(0,G11-120))</f>
        <v>240</v>
      </c>
      <c r="AG11" s="1">
        <f>ROUND(N11*(AF11/12)*40%,0)</f>
        <v>2120000</v>
      </c>
      <c r="AH11" s="1">
        <f>AC11+AE11+AG11</f>
        <v>2981250</v>
      </c>
      <c r="AI11" t="str">
        <v>PASS</v>
      </c>
      <c r="AJ11" t="str">
        <v/>
      </c>
      <c r="AK11" t="str">
        <v>STAGING-PROVISIONS-2026-R1</v>
      </c>
    </row>
    <row r="12">
      <c r="A12" t="str">
        <v>C11</v>
      </c>
      <c r="B12" t="str">
        <v>A</v>
      </c>
      <c r="C12" t="str">
        <v>Congés consommés</v>
      </c>
      <c r="D12" t="str">
        <v>VAL26-A-C11</v>
      </c>
      <c r="E12" t="str">
        <v>2022-01-01</v>
      </c>
      <c r="F12" t="str">
        <v>2026-08-03</v>
      </c>
      <c r="G12" s="2" t="n">
        <v>55</v>
      </c>
      <c r="H12" t="n">
        <v>7.1667</v>
      </c>
      <c r="I12" s="2" t="n">
        <v>8</v>
      </c>
      <c r="J12" t="n">
        <v>230000.0</v>
      </c>
      <c r="K12" t="n">
        <v>50000.0</v>
      </c>
      <c r="L12" s="1">
        <f>ROUND(J12+K12,0)</f>
        <v>280000</v>
      </c>
      <c r="M12" s="1">
        <f>IF(I12=0,L12*12,SUMIFS('Périodes'!$K$2:$K$241,'Périodes'!$A$2:$A$241,A12,'Périodes'!$E$2:$E$241,"FINALIZED"))</f>
        <v>2240000</v>
      </c>
      <c r="N12" s="1">
        <f>IF(I12=0,L12,ROUND(M12/I12,0))</f>
        <v>280000</v>
      </c>
      <c r="O12" s="3">
        <f>ROUND(H12*2.2,2)</f>
        <v>15.77</v>
      </c>
      <c r="P12" s="3">
        <f>IF(G12&gt;=360,8,IF(G12&gt;=300,7,IF(G12&gt;=240,5,IF(G12&gt;=180,3,IF(G12&gt;=120,2,IF(G12&gt;=60,1,0))))))</f>
        <v>0</v>
      </c>
      <c r="Q12" s="3">
        <f>CEILING(O12,1)+P12</f>
        <v>16</v>
      </c>
      <c r="R12" t="n">
        <v>10.0</v>
      </c>
      <c r="S12" t="n">
        <v>0</v>
      </c>
      <c r="T12" t="n">
        <v>5.0</v>
      </c>
      <c r="U12" t="n">
        <v>0</v>
      </c>
      <c r="V12" s="3">
        <f>ROUND(R12+S12+Q12-T12-U12,2)</f>
        <v>21</v>
      </c>
      <c r="W12" s="1">
        <f>ROUND(N12/26,0)</f>
        <v>10769</v>
      </c>
      <c r="X12" s="1">
        <f>ROUND(MAX(0,V12)*(N12/26),0)</f>
        <v>226154</v>
      </c>
      <c r="Y12" s="1">
        <f>IF(OR(M12=0,Q12=0),0,ROUND(M12*10%*MAX(0,V12)/MAX(Q12,1),0))</f>
        <v>294000</v>
      </c>
      <c r="Z12" t="str">
        <f>IF(Y12&gt;X12,"TENTH","SALARY_MAINTENANCE")</f>
        <v>TENTH</v>
      </c>
      <c r="AA12" s="1">
        <f>MAX(X12,Y12)</f>
        <v>294000</v>
      </c>
      <c r="AB12" s="3">
        <f>IF(G12&lt;12,0,MIN(G12,60))</f>
        <v>55</v>
      </c>
      <c r="AC12" s="1">
        <f>ROUND(N12*(AB12/12)*30%,0)</f>
        <v>385000</v>
      </c>
      <c r="AD12" s="3">
        <f>IF(G12&lt;12,0,MAX(0,MIN(G12-60,60)))</f>
        <v>0</v>
      </c>
      <c r="AE12" s="1">
        <f>ROUND(N12*(AD12/12)*35%,0)</f>
        <v>0</v>
      </c>
      <c r="AF12" s="3">
        <f>IF(G12&lt;12,0,MAX(0,G12-120))</f>
        <v>0</v>
      </c>
      <c r="AG12" s="1">
        <f>ROUND(N12*(AF12/12)*40%,0)</f>
        <v>0</v>
      </c>
      <c r="AH12" s="1">
        <f>AC12+AE12+AG12</f>
        <v>385000</v>
      </c>
      <c r="AI12" t="str">
        <v>PASS</v>
      </c>
      <c r="AJ12" t="str">
        <v/>
      </c>
      <c r="AK12" t="str">
        <v>STAGING-PROVISIONS-2026-R1</v>
      </c>
    </row>
    <row r="13">
      <c r="A13" t="str">
        <v>C12</v>
      </c>
      <c r="B13" t="str">
        <v>A</v>
      </c>
      <c r="C13" t="str">
        <v>Congés compensés/payés</v>
      </c>
      <c r="D13" t="str">
        <v>VAL26-A-C12</v>
      </c>
      <c r="E13" t="str">
        <v>2021-01-01</v>
      </c>
      <c r="F13" t="str">
        <v>2026-08-03</v>
      </c>
      <c r="G13" s="2" t="n">
        <v>67</v>
      </c>
      <c r="H13" t="n">
        <v>7.1667</v>
      </c>
      <c r="I13" s="2" t="n">
        <v>8</v>
      </c>
      <c r="J13" t="n">
        <v>235000.0</v>
      </c>
      <c r="K13" t="n">
        <v>50000.0</v>
      </c>
      <c r="L13" s="1">
        <f>ROUND(J13+K13,0)</f>
        <v>285000</v>
      </c>
      <c r="M13" s="1">
        <f>IF(I13=0,L13*12,SUMIFS('Périodes'!$K$2:$K$241,'Périodes'!$A$2:$A$241,A13,'Périodes'!$E$2:$E$241,"FINALIZED"))</f>
        <v>2280000</v>
      </c>
      <c r="N13" s="1">
        <f>IF(I13=0,L13,ROUND(M13/I13,0))</f>
        <v>285000</v>
      </c>
      <c r="O13" s="3">
        <f>ROUND(H13*2.2,2)</f>
        <v>15.77</v>
      </c>
      <c r="P13" s="3">
        <f>IF(G13&gt;=360,8,IF(G13&gt;=300,7,IF(G13&gt;=240,5,IF(G13&gt;=180,3,IF(G13&gt;=120,2,IF(G13&gt;=60,1,0))))))</f>
        <v>1</v>
      </c>
      <c r="Q13" s="3">
        <f>CEILING(O13,1)+P13</f>
        <v>17</v>
      </c>
      <c r="R13" t="n">
        <v>10.0</v>
      </c>
      <c r="S13" t="n">
        <v>0</v>
      </c>
      <c r="T13" t="n">
        <v>0</v>
      </c>
      <c r="U13" t="n">
        <v>4.0</v>
      </c>
      <c r="V13" s="3">
        <f>ROUND(R13+S13+Q13-T13-U13,2)</f>
        <v>23</v>
      </c>
      <c r="W13" s="1">
        <f>ROUND(N13/26,0)</f>
        <v>10962</v>
      </c>
      <c r="X13" s="1">
        <f>ROUND(MAX(0,V13)*(N13/26),0)</f>
        <v>252115</v>
      </c>
      <c r="Y13" s="1">
        <f>IF(OR(M13=0,Q13=0),0,ROUND(M13*10%*MAX(0,V13)/MAX(Q13,1),0))</f>
        <v>308471</v>
      </c>
      <c r="Z13" t="str">
        <f>IF(Y13&gt;X13,"TENTH","SALARY_MAINTENANCE")</f>
        <v>TENTH</v>
      </c>
      <c r="AA13" s="1">
        <f>MAX(X13,Y13)</f>
        <v>308471</v>
      </c>
      <c r="AB13" s="3">
        <f>IF(G13&lt;12,0,MIN(G13,60))</f>
        <v>60</v>
      </c>
      <c r="AC13" s="1">
        <f>ROUND(N13*(AB13/12)*30%,0)</f>
        <v>427500</v>
      </c>
      <c r="AD13" s="3">
        <f>IF(G13&lt;12,0,MAX(0,MIN(G13-60,60)))</f>
        <v>7</v>
      </c>
      <c r="AE13" s="1">
        <f>ROUND(N13*(AD13/12)*35%,0)</f>
        <v>58187</v>
      </c>
      <c r="AF13" s="3">
        <f>IF(G13&lt;12,0,MAX(0,G13-120))</f>
        <v>0</v>
      </c>
      <c r="AG13" s="1">
        <f>ROUND(N13*(AF13/12)*40%,0)</f>
        <v>0</v>
      </c>
      <c r="AH13" s="1">
        <f>AC13+AE13+AG13</f>
        <v>485687</v>
      </c>
      <c r="AI13" t="str">
        <v>PASS</v>
      </c>
      <c r="AJ13" t="str">
        <v/>
      </c>
      <c r="AK13" t="str">
        <v>STAGING-PROVISIONS-2026-R1</v>
      </c>
    </row>
    <row r="14">
      <c r="A14" t="str">
        <v>C13</v>
      </c>
      <c r="B14" t="str">
        <v>A</v>
      </c>
      <c r="C14" t="str">
        <v>Historique salarial limité à 4 mois</v>
      </c>
      <c r="D14" t="str">
        <v>VAL26-A-C13</v>
      </c>
      <c r="E14" t="str">
        <v>2019-01-01</v>
      </c>
      <c r="F14" t="str">
        <v>2026-08-03</v>
      </c>
      <c r="G14" s="2" t="n">
        <v>91</v>
      </c>
      <c r="H14" t="n">
        <v>7.1667</v>
      </c>
      <c r="I14" s="2" t="n">
        <v>4</v>
      </c>
      <c r="J14" t="n">
        <v>240000.0</v>
      </c>
      <c r="K14" t="n">
        <v>60000.0</v>
      </c>
      <c r="L14" s="1">
        <f>ROUND(J14+K14,0)</f>
        <v>300000</v>
      </c>
      <c r="M14" s="1">
        <f>IF(I14=0,L14*12,SUMIFS('Périodes'!$K$2:$K$241,'Périodes'!$A$2:$A$241,A14,'Périodes'!$E$2:$E$241,"FINALIZED"))</f>
        <v>1200000</v>
      </c>
      <c r="N14" s="1">
        <f>IF(I14=0,L14,ROUND(M14/I14,0))</f>
        <v>300000</v>
      </c>
      <c r="O14" s="3">
        <f>ROUND(H14*2.2,2)</f>
        <v>15.77</v>
      </c>
      <c r="P14" s="3">
        <f>IF(G14&gt;=360,8,IF(G14&gt;=300,7,IF(G14&gt;=240,5,IF(G14&gt;=180,3,IF(G14&gt;=120,2,IF(G14&gt;=60,1,0))))))</f>
        <v>1</v>
      </c>
      <c r="Q14" s="3">
        <f>CEILING(O14,1)+P14</f>
        <v>17</v>
      </c>
      <c r="R14" t="n">
        <v>0.0</v>
      </c>
      <c r="S14" t="n">
        <v>0</v>
      </c>
      <c r="T14" t="n">
        <v>0</v>
      </c>
      <c r="U14" t="n">
        <v>0</v>
      </c>
      <c r="V14" s="3">
        <f>ROUND(R14+S14+Q14-T14-U14,2)</f>
        <v>17</v>
      </c>
      <c r="W14" s="1">
        <f>ROUND(N14/26,0)</f>
        <v>11538</v>
      </c>
      <c r="X14" s="1">
        <f>ROUND(MAX(0,V14)*(N14/26),0)</f>
        <v>196154</v>
      </c>
      <c r="Y14" s="1">
        <f>IF(OR(M14=0,Q14=0),0,ROUND(M14*10%*MAX(0,V14)/MAX(Q14,1),0))</f>
        <v>120000</v>
      </c>
      <c r="Z14" t="str">
        <f>IF(Y14&gt;X14,"TENTH","SALARY_MAINTENANCE")</f>
        <v>SALARY_MAINTENANCE</v>
      </c>
      <c r="AA14" s="1">
        <f>MAX(X14,Y14)</f>
        <v>196154</v>
      </c>
      <c r="AB14" s="3">
        <f>IF(G14&lt;12,0,MIN(G14,60))</f>
        <v>60</v>
      </c>
      <c r="AC14" s="1">
        <f>ROUND(N14*(AB14/12)*30%,0)</f>
        <v>450000</v>
      </c>
      <c r="AD14" s="3">
        <f>IF(G14&lt;12,0,MAX(0,MIN(G14-60,60)))</f>
        <v>31</v>
      </c>
      <c r="AE14" s="1">
        <f>ROUND(N14*(AD14/12)*35%,0)</f>
        <v>271250</v>
      </c>
      <c r="AF14" s="3">
        <f>IF(G14&lt;12,0,MAX(0,G14-120))</f>
        <v>0</v>
      </c>
      <c r="AG14" s="1">
        <f>ROUND(N14*(AF14/12)*40%,0)</f>
        <v>0</v>
      </c>
      <c r="AH14" s="1">
        <f>AC14+AE14+AG14</f>
        <v>721250</v>
      </c>
      <c r="AI14" t="str">
        <v>PASS</v>
      </c>
      <c r="AJ14" t="str">
        <v>Historique salarial partiel 4 mois</v>
      </c>
      <c r="AK14" t="str">
        <v>STAGING-PROVISIONS-2026-R1</v>
      </c>
    </row>
    <row r="15">
      <c r="A15" t="str">
        <v>C14</v>
      </c>
      <c r="B15" t="str">
        <v>A</v>
      </c>
      <c r="C15" t="str">
        <v>Fallback contractuel sans paie finalisée</v>
      </c>
      <c r="D15" t="str">
        <v>VAL26-A-C14</v>
      </c>
      <c r="E15" t="str">
        <v>2018-01-01</v>
      </c>
      <c r="F15" t="str">
        <v>2026-08-03</v>
      </c>
      <c r="G15" s="2" t="n">
        <v>103</v>
      </c>
      <c r="H15" t="n">
        <v>7.1667</v>
      </c>
      <c r="I15" s="2" t="n">
        <v>0</v>
      </c>
      <c r="J15" t="n">
        <v>245000.0</v>
      </c>
      <c r="K15" t="n">
        <v>60000.0</v>
      </c>
      <c r="L15" s="1">
        <f>ROUND(J15+K15,0)</f>
        <v>305000</v>
      </c>
      <c r="M15" s="1">
        <f>IF(I15=0,L15*12,SUMIFS('Périodes'!$K$2:$K$241,'Périodes'!$A$2:$A$241,A15,'Périodes'!$E$2:$E$241,"FINALIZED"))</f>
        <v>3660000</v>
      </c>
      <c r="N15" s="1">
        <f>IF(I15=0,L15,ROUND(M15/I15,0))</f>
        <v>305000</v>
      </c>
      <c r="O15" s="3">
        <f>ROUND(H15*2.2,2)</f>
        <v>15.77</v>
      </c>
      <c r="P15" s="3">
        <f>IF(G15&gt;=360,8,IF(G15&gt;=300,7,IF(G15&gt;=240,5,IF(G15&gt;=180,3,IF(G15&gt;=120,2,IF(G15&gt;=60,1,0))))))</f>
        <v>1</v>
      </c>
      <c r="Q15" s="3">
        <f>CEILING(O15,1)+P15</f>
        <v>17</v>
      </c>
      <c r="R15" t="n">
        <v>0.0</v>
      </c>
      <c r="S15" t="n">
        <v>0</v>
      </c>
      <c r="T15" t="n">
        <v>0</v>
      </c>
      <c r="U15" t="n">
        <v>0</v>
      </c>
      <c r="V15" s="3">
        <f>ROUND(R15+S15+Q15-T15-U15,2)</f>
        <v>17</v>
      </c>
      <c r="W15" s="1">
        <f>ROUND(N15/26,0)</f>
        <v>11731</v>
      </c>
      <c r="X15" s="1">
        <f>ROUND(MAX(0,V15)*(N15/26),0)</f>
        <v>199423</v>
      </c>
      <c r="Y15" s="1">
        <f>IF(OR(M15=0,Q15=0),0,ROUND(M15*10%*MAX(0,V15)/MAX(Q15,1),0))</f>
        <v>366000</v>
      </c>
      <c r="Z15" t="str">
        <f>IF(Y15&gt;X15,"TENTH","SALARY_MAINTENANCE")</f>
        <v>TENTH</v>
      </c>
      <c r="AA15" s="1">
        <f>MAX(X15,Y15)</f>
        <v>366000</v>
      </c>
      <c r="AB15" s="3">
        <f>IF(G15&lt;12,0,MIN(G15,60))</f>
        <v>60</v>
      </c>
      <c r="AC15" s="1">
        <f>ROUND(N15*(AB15/12)*30%,0)</f>
        <v>457500</v>
      </c>
      <c r="AD15" s="3">
        <f>IF(G15&lt;12,0,MAX(0,MIN(G15-60,60)))</f>
        <v>43</v>
      </c>
      <c r="AE15" s="1">
        <f>ROUND(N15*(AD15/12)*35%,0)</f>
        <v>382521</v>
      </c>
      <c r="AF15" s="3">
        <f>IF(G15&lt;12,0,MAX(0,G15-120))</f>
        <v>0</v>
      </c>
      <c r="AG15" s="1">
        <f>ROUND(N15*(AF15/12)*40%,0)</f>
        <v>0</v>
      </c>
      <c r="AH15" s="1">
        <f>AC15+AE15+AG15</f>
        <v>840021</v>
      </c>
      <c r="AI15" t="str">
        <v>PASS</v>
      </c>
      <c r="AJ15" t="str">
        <v>Aucune paie finalisée ; fallback contractuel</v>
      </c>
      <c r="AK15" t="str">
        <v>STAGING-PROVISIONS-2026-R1</v>
      </c>
    </row>
    <row r="16">
      <c r="A16" t="str">
        <v>C15</v>
      </c>
      <c r="B16" t="str">
        <v>A</v>
      </c>
      <c r="C16" t="str">
        <v>Remboursements de frais exclus</v>
      </c>
      <c r="D16" t="str">
        <v>VAL26-A-C15</v>
      </c>
      <c r="E16" t="str">
        <v>2017-01-01</v>
      </c>
      <c r="F16" t="str">
        <v>2026-08-03</v>
      </c>
      <c r="G16" s="2" t="n">
        <v>115</v>
      </c>
      <c r="H16" t="n">
        <v>7.1667</v>
      </c>
      <c r="I16" s="2" t="n">
        <v>8</v>
      </c>
      <c r="J16" t="n">
        <v>250000.0</v>
      </c>
      <c r="K16" t="n">
        <v>60000.0</v>
      </c>
      <c r="L16" s="1">
        <f>ROUND(J16+K16,0)</f>
        <v>310000</v>
      </c>
      <c r="M16" s="1">
        <f>IF(I16=0,L16*12,SUMIFS('Périodes'!$K$2:$K$241,'Périodes'!$A$2:$A$241,A16,'Périodes'!$E$2:$E$241,"FINALIZED"))</f>
        <v>2480000</v>
      </c>
      <c r="N16" s="1">
        <f>IF(I16=0,L16,ROUND(M16/I16,0))</f>
        <v>310000</v>
      </c>
      <c r="O16" s="3">
        <f>ROUND(H16*2.2,2)</f>
        <v>15.77</v>
      </c>
      <c r="P16" s="3">
        <f>IF(G16&gt;=360,8,IF(G16&gt;=300,7,IF(G16&gt;=240,5,IF(G16&gt;=180,3,IF(G16&gt;=120,2,IF(G16&gt;=60,1,0))))))</f>
        <v>1</v>
      </c>
      <c r="Q16" s="3">
        <f>CEILING(O16,1)+P16</f>
        <v>17</v>
      </c>
      <c r="R16" t="n">
        <v>0.0</v>
      </c>
      <c r="S16" t="n">
        <v>0</v>
      </c>
      <c r="T16" t="n">
        <v>0</v>
      </c>
      <c r="U16" t="n">
        <v>0</v>
      </c>
      <c r="V16" s="3">
        <f>ROUND(R16+S16+Q16-T16-U16,2)</f>
        <v>17</v>
      </c>
      <c r="W16" s="1">
        <f>ROUND(N16/26,0)</f>
        <v>11923</v>
      </c>
      <c r="X16" s="1">
        <f>ROUND(MAX(0,V16)*(N16/26),0)</f>
        <v>202692</v>
      </c>
      <c r="Y16" s="1">
        <f>IF(OR(M16=0,Q16=0),0,ROUND(M16*10%*MAX(0,V16)/MAX(Q16,1),0))</f>
        <v>248000</v>
      </c>
      <c r="Z16" t="str">
        <f>IF(Y16&gt;X16,"TENTH","SALARY_MAINTENANCE")</f>
        <v>TENTH</v>
      </c>
      <c r="AA16" s="1">
        <f>MAX(X16,Y16)</f>
        <v>248000</v>
      </c>
      <c r="AB16" s="3">
        <f>IF(G16&lt;12,0,MIN(G16,60))</f>
        <v>60</v>
      </c>
      <c r="AC16" s="1">
        <f>ROUND(N16*(AB16/12)*30%,0)</f>
        <v>465000</v>
      </c>
      <c r="AD16" s="3">
        <f>IF(G16&lt;12,0,MAX(0,MIN(G16-60,60)))</f>
        <v>55</v>
      </c>
      <c r="AE16" s="1">
        <f>ROUND(N16*(AD16/12)*35%,0)</f>
        <v>497292</v>
      </c>
      <c r="AF16" s="3">
        <f>IF(G16&lt;12,0,MAX(0,G16-120))</f>
        <v>0</v>
      </c>
      <c r="AG16" s="1">
        <f>ROUND(N16*(AF16/12)*40%,0)</f>
        <v>0</v>
      </c>
      <c r="AH16" s="1">
        <f>AC16+AE16+AG16</f>
        <v>962292</v>
      </c>
      <c r="AI16" t="str">
        <v>PASS</v>
      </c>
      <c r="AJ16" t="str">
        <v/>
      </c>
      <c r="AK16" t="str">
        <v>STAGING-PROVISIONS-2026-R1</v>
      </c>
    </row>
    <row r="17">
      <c r="A17" t="str">
        <v>C16</v>
      </c>
      <c r="B17" t="str">
        <v>A</v>
      </c>
      <c r="C17" t="str">
        <v>Primes éligibles incluses</v>
      </c>
      <c r="D17" t="str">
        <v>VAL26-A-C16</v>
      </c>
      <c r="E17" t="str">
        <v>2016-01-01</v>
      </c>
      <c r="F17" t="str">
        <v>2026-08-03</v>
      </c>
      <c r="G17" s="2" t="n">
        <v>127</v>
      </c>
      <c r="H17" t="n">
        <v>7.1667</v>
      </c>
      <c r="I17" s="2" t="n">
        <v>8</v>
      </c>
      <c r="J17" t="n">
        <v>255000.0</v>
      </c>
      <c r="K17" t="n">
        <v>60000.0</v>
      </c>
      <c r="L17" s="1">
        <f>ROUND(J17+K17,0)</f>
        <v>315000</v>
      </c>
      <c r="M17" s="1">
        <f>IF(I17=0,L17*12,SUMIFS('Périodes'!$K$2:$K$241,'Périodes'!$A$2:$A$241,A17,'Périodes'!$E$2:$E$241,"FINALIZED"))</f>
        <v>2800000</v>
      </c>
      <c r="N17" s="1">
        <f>IF(I17=0,L17,ROUND(M17/I17,0))</f>
        <v>350000</v>
      </c>
      <c r="O17" s="3">
        <f>ROUND(H17*2.2,2)</f>
        <v>15.77</v>
      </c>
      <c r="P17" s="3">
        <f>IF(G17&gt;=360,8,IF(G17&gt;=300,7,IF(G17&gt;=240,5,IF(G17&gt;=180,3,IF(G17&gt;=120,2,IF(G17&gt;=60,1,0))))))</f>
        <v>2</v>
      </c>
      <c r="Q17" s="3">
        <f>CEILING(O17,1)+P17</f>
        <v>18</v>
      </c>
      <c r="R17" t="n">
        <v>0.0</v>
      </c>
      <c r="S17" t="n">
        <v>0</v>
      </c>
      <c r="T17" t="n">
        <v>0</v>
      </c>
      <c r="U17" t="n">
        <v>0</v>
      </c>
      <c r="V17" s="3">
        <f>ROUND(R17+S17+Q17-T17-U17,2)</f>
        <v>18</v>
      </c>
      <c r="W17" s="1">
        <f>ROUND(N17/26,0)</f>
        <v>13462</v>
      </c>
      <c r="X17" s="1">
        <f>ROUND(MAX(0,V17)*(N17/26),0)</f>
        <v>242308</v>
      </c>
      <c r="Y17" s="1">
        <f>IF(OR(M17=0,Q17=0),0,ROUND(M17*10%*MAX(0,V17)/MAX(Q17,1),0))</f>
        <v>280000</v>
      </c>
      <c r="Z17" t="str">
        <f>IF(Y17&gt;X17,"TENTH","SALARY_MAINTENANCE")</f>
        <v>TENTH</v>
      </c>
      <c r="AA17" s="1">
        <f>MAX(X17,Y17)</f>
        <v>280000</v>
      </c>
      <c r="AB17" s="3">
        <f>IF(G17&lt;12,0,MIN(G17,60))</f>
        <v>60</v>
      </c>
      <c r="AC17" s="1">
        <f>ROUND(N17*(AB17/12)*30%,0)</f>
        <v>525000</v>
      </c>
      <c r="AD17" s="3">
        <f>IF(G17&lt;12,0,MAX(0,MIN(G17-60,60)))</f>
        <v>60</v>
      </c>
      <c r="AE17" s="1">
        <f>ROUND(N17*(AD17/12)*35%,0)</f>
        <v>612500</v>
      </c>
      <c r="AF17" s="3">
        <f>IF(G17&lt;12,0,MAX(0,G17-120))</f>
        <v>7</v>
      </c>
      <c r="AG17" s="1">
        <f>ROUND(N17*(AF17/12)*40%,0)</f>
        <v>81667</v>
      </c>
      <c r="AH17" s="1">
        <f>AC17+AE17+AG17</f>
        <v>1219167</v>
      </c>
      <c r="AI17" t="str">
        <v>PASS</v>
      </c>
      <c r="AJ17" t="str">
        <v/>
      </c>
      <c r="AK17" t="str">
        <v>STAGING-PROVISIONS-2026-R1</v>
      </c>
    </row>
    <row r="18">
      <c r="A18" t="str">
        <v>C17</v>
      </c>
      <c r="B18" t="str">
        <v>A</v>
      </c>
      <c r="C18" t="str">
        <v>Frontière exacte du palier 5 ans</v>
      </c>
      <c r="D18" t="str">
        <v>VAL26-A-C17</v>
      </c>
      <c r="E18" t="str">
        <v>2021-08-03</v>
      </c>
      <c r="F18" t="str">
        <v>2026-08-03</v>
      </c>
      <c r="G18" s="2" t="n">
        <v>60</v>
      </c>
      <c r="H18" t="n">
        <v>7.1667</v>
      </c>
      <c r="I18" s="2" t="n">
        <v>8</v>
      </c>
      <c r="J18" t="n">
        <v>260000.0</v>
      </c>
      <c r="K18" t="n">
        <v>60000.0</v>
      </c>
      <c r="L18" s="1">
        <f>ROUND(J18+K18,0)</f>
        <v>320000</v>
      </c>
      <c r="M18" s="1">
        <f>IF(I18=0,L18*12,SUMIFS('Périodes'!$K$2:$K$241,'Périodes'!$A$2:$A$241,A18,'Périodes'!$E$2:$E$241,"FINALIZED"))</f>
        <v>2560000</v>
      </c>
      <c r="N18" s="1">
        <f>IF(I18=0,L18,ROUND(M18/I18,0))</f>
        <v>320000</v>
      </c>
      <c r="O18" s="3">
        <f>ROUND(H18*2.2,2)</f>
        <v>15.77</v>
      </c>
      <c r="P18" s="3">
        <f>IF(G18&gt;=360,8,IF(G18&gt;=300,7,IF(G18&gt;=240,5,IF(G18&gt;=180,3,IF(G18&gt;=120,2,IF(G18&gt;=60,1,0))))))</f>
        <v>1</v>
      </c>
      <c r="Q18" s="3">
        <f>CEILING(O18,1)+P18</f>
        <v>17</v>
      </c>
      <c r="R18" t="n">
        <v>0.0</v>
      </c>
      <c r="S18" t="n">
        <v>0</v>
      </c>
      <c r="T18" t="n">
        <v>0</v>
      </c>
      <c r="U18" t="n">
        <v>0</v>
      </c>
      <c r="V18" s="3">
        <f>ROUND(R18+S18+Q18-T18-U18,2)</f>
        <v>17</v>
      </c>
      <c r="W18" s="1">
        <f>ROUND(N18/26,0)</f>
        <v>12308</v>
      </c>
      <c r="X18" s="1">
        <f>ROUND(MAX(0,V18)*(N18/26),0)</f>
        <v>209231</v>
      </c>
      <c r="Y18" s="1">
        <f>IF(OR(M18=0,Q18=0),0,ROUND(M18*10%*MAX(0,V18)/MAX(Q18,1),0))</f>
        <v>256000</v>
      </c>
      <c r="Z18" t="str">
        <f>IF(Y18&gt;X18,"TENTH","SALARY_MAINTENANCE")</f>
        <v>TENTH</v>
      </c>
      <c r="AA18" s="1">
        <f>MAX(X18,Y18)</f>
        <v>256000</v>
      </c>
      <c r="AB18" s="3">
        <f>IF(G18&lt;12,0,MIN(G18,60))</f>
        <v>60</v>
      </c>
      <c r="AC18" s="1">
        <f>ROUND(N18*(AB18/12)*30%,0)</f>
        <v>480000</v>
      </c>
      <c r="AD18" s="3">
        <f>IF(G18&lt;12,0,MAX(0,MIN(G18-60,60)))</f>
        <v>0</v>
      </c>
      <c r="AE18" s="1">
        <f>ROUND(N18*(AD18/12)*35%,0)</f>
        <v>0</v>
      </c>
      <c r="AF18" s="3">
        <f>IF(G18&lt;12,0,MAX(0,G18-120))</f>
        <v>0</v>
      </c>
      <c r="AG18" s="1">
        <f>ROUND(N18*(AF18/12)*40%,0)</f>
        <v>0</v>
      </c>
      <c r="AH18" s="1">
        <f>AC18+AE18+AG18</f>
        <v>480000</v>
      </c>
      <c r="AI18" t="str">
        <v>PASS</v>
      </c>
      <c r="AJ18" t="str">
        <v/>
      </c>
      <c r="AK18" t="str">
        <v>STAGING-PROVISIONS-2026-R1</v>
      </c>
    </row>
    <row r="19">
      <c r="A19" t="str">
        <v>C18</v>
      </c>
      <c r="B19" t="str">
        <v>A</v>
      </c>
      <c r="C19" t="str">
        <v>Embauche postérieure à la référence — exclu</v>
      </c>
      <c r="D19" t="str">
        <v>VAL26-A-C18</v>
      </c>
      <c r="E19" t="str">
        <v>2026-08-04</v>
      </c>
      <c r="F19" t="str">
        <v>2026-08-03</v>
      </c>
      <c r="G19" s="2" t="n">
        <v>0</v>
      </c>
      <c r="H19" t="n">
        <v>0</v>
      </c>
      <c r="I19" s="2" t="n">
        <v>0</v>
      </c>
      <c r="J19" t="n">
        <v>265000.0</v>
      </c>
      <c r="K19" t="n">
        <v>60000.0</v>
      </c>
      <c r="L19" s="1">
        <f>ROUND(J19+K19,0)</f>
        <v>325000</v>
      </c>
      <c r="M19" s="1">
        <f>IF(I19=0,L19*12,SUMIFS('Périodes'!$K$2:$K$241,'Périodes'!$A$2:$A$241,A19,'Périodes'!$E$2:$E$241,"FINALIZED"))</f>
        <v>3900000</v>
      </c>
      <c r="N19" s="1">
        <f>IF(I19=0,L19,ROUND(M19/I19,0))</f>
        <v>325000</v>
      </c>
      <c r="O19" s="3">
        <f>ROUND(H19*2.2,2)</f>
        <v>0.0</v>
      </c>
      <c r="P19" s="3">
        <f>IF(G19&gt;=360,8,IF(G19&gt;=300,7,IF(G19&gt;=240,5,IF(G19&gt;=180,3,IF(G19&gt;=120,2,IF(G19&gt;=60,1,0))))))</f>
        <v>0</v>
      </c>
      <c r="Q19" s="3">
        <f>CEILING(O19,1)+P19</f>
        <v>0</v>
      </c>
      <c r="R19" t="n">
        <v>0</v>
      </c>
      <c r="S19" t="n">
        <v>0</v>
      </c>
      <c r="T19" t="n">
        <v>0</v>
      </c>
      <c r="U19" t="n">
        <v>0</v>
      </c>
      <c r="V19" s="3">
        <f>ROUND(R19+S19+Q19-T19-U19,2)</f>
        <v>0</v>
      </c>
      <c r="W19" s="1">
        <f>ROUND(N19/26,0)</f>
        <v>12500</v>
      </c>
      <c r="X19" s="1">
        <f>ROUND(MAX(0,V19)*(N19/26),0)</f>
        <v>0</v>
      </c>
      <c r="Y19" s="1">
        <f>IF(OR(M19=0,Q19=0),0,ROUND(M19*10%*MAX(0,V19)/MAX(Q19,1),0))</f>
        <v>0</v>
      </c>
      <c r="Z19" t="str">
        <f>IF(Y19&gt;X19,"TENTH","SALARY_MAINTENANCE")</f>
        <v>SALARY_MAINTENANCE</v>
      </c>
      <c r="AA19" s="1">
        <f>MAX(X19,Y19)</f>
        <v>0</v>
      </c>
      <c r="AB19" s="3">
        <f>IF(G19&lt;12,0,MIN(G19,60))</f>
        <v>0</v>
      </c>
      <c r="AC19" s="1">
        <f>ROUND(N19*(AB19/12)*30%,0)</f>
        <v>0</v>
      </c>
      <c r="AD19" s="3">
        <f>IF(G19&lt;12,0,MAX(0,MIN(G19-60,60)))</f>
        <v>0</v>
      </c>
      <c r="AE19" s="1">
        <f>ROUND(N19*(AD19/12)*35%,0)</f>
        <v>0</v>
      </c>
      <c r="AF19" s="3">
        <f>IF(G19&lt;12,0,MAX(0,G19-120))</f>
        <v>0</v>
      </c>
      <c r="AG19" s="1">
        <f>ROUND(N19*(AF19/12)*40%,0)</f>
        <v>0</v>
      </c>
      <c r="AH19" s="1">
        <f>AC19+AE19+AG19</f>
        <v>0</v>
      </c>
      <c r="AI19" t="str">
        <v>NOT_APPLICABLE</v>
      </c>
      <c r="AJ19" t="str">
        <v>Embauche postérieure à la date de référence</v>
      </c>
      <c r="AK19" t="str">
        <v>STAGING-PROVISIONS-2026-R1</v>
      </c>
    </row>
    <row r="20">
      <c r="A20" t="str">
        <v>B01</v>
      </c>
      <c r="B20" t="str">
        <v>B</v>
      </c>
      <c r="C20" t="str">
        <v>Isolation tenant B</v>
      </c>
      <c r="D20" t="str">
        <v>VAL26-B-B01</v>
      </c>
      <c r="E20" t="str">
        <v>2021-01-01</v>
      </c>
      <c r="F20" t="str">
        <v>2026-08-03</v>
      </c>
      <c r="G20" s="2" t="n">
        <v>67</v>
      </c>
      <c r="H20" t="n">
        <v>7.1667</v>
      </c>
      <c r="I20" s="2" t="n">
        <v>8</v>
      </c>
      <c r="J20" t="n">
        <v>180000.0</v>
      </c>
      <c r="K20" t="n">
        <v>20000.0</v>
      </c>
      <c r="L20" s="1">
        <f>ROUND(J20+K20,0)</f>
        <v>200000</v>
      </c>
      <c r="M20" s="1">
        <f>IF(I20=0,L20*12,SUMIFS('Périodes'!$K$2:$K$241,'Périodes'!$A$2:$A$241,A20,'Périodes'!$E$2:$E$241,"FINALIZED"))</f>
        <v>1600000</v>
      </c>
      <c r="N20" s="1">
        <f>IF(I20=0,L20,ROUND(M20/I20,0))</f>
        <v>200000</v>
      </c>
      <c r="O20" s="3">
        <f>ROUND(H20*2.2,2)</f>
        <v>15.77</v>
      </c>
      <c r="P20" s="3">
        <f>IF(G20&gt;=360,8,IF(G20&gt;=300,7,IF(G20&gt;=240,5,IF(G20&gt;=180,3,IF(G20&gt;=120,2,IF(G20&gt;=60,1,0))))))</f>
        <v>1</v>
      </c>
      <c r="Q20" s="3">
        <f>CEILING(O20,1)+P20</f>
        <v>17</v>
      </c>
      <c r="R20" t="n">
        <v>0.0</v>
      </c>
      <c r="S20" t="n">
        <v>0</v>
      </c>
      <c r="T20" t="n">
        <v>0</v>
      </c>
      <c r="U20" t="n">
        <v>0</v>
      </c>
      <c r="V20" s="3">
        <f>ROUND(R20+S20+Q20-T20-U20,2)</f>
        <v>17</v>
      </c>
      <c r="W20" s="1">
        <f>ROUND(N20/26,0)</f>
        <v>7692</v>
      </c>
      <c r="X20" s="1">
        <f>ROUND(MAX(0,V20)*(N20/26),0)</f>
        <v>130769</v>
      </c>
      <c r="Y20" s="1">
        <f>IF(OR(M20=0,Q20=0),0,ROUND(M20*10%*MAX(0,V20)/MAX(Q20,1),0))</f>
        <v>160000</v>
      </c>
      <c r="Z20" t="str">
        <f>IF(Y20&gt;X20,"TENTH","SALARY_MAINTENANCE")</f>
        <v>TENTH</v>
      </c>
      <c r="AA20" s="1">
        <f>MAX(X20,Y20)</f>
        <v>160000</v>
      </c>
      <c r="AB20" s="3">
        <f>IF(G20&lt;12,0,MIN(G20,60))</f>
        <v>60</v>
      </c>
      <c r="AC20" s="1">
        <f>ROUND(N20*(AB20/12)*30%,0)</f>
        <v>300000</v>
      </c>
      <c r="AD20" s="3">
        <f>IF(G20&lt;12,0,MAX(0,MIN(G20-60,60)))</f>
        <v>7</v>
      </c>
      <c r="AE20" s="1">
        <f>ROUND(N20*(AD20/12)*35%,0)</f>
        <v>40833</v>
      </c>
      <c r="AF20" s="3">
        <f>IF(G20&lt;12,0,MAX(0,G20-120))</f>
        <v>0</v>
      </c>
      <c r="AG20" s="1">
        <f>ROUND(N20*(AF20/12)*40%,0)</f>
        <v>0</v>
      </c>
      <c r="AH20" s="1">
        <f>AC20+AE20+AG20</f>
        <v>340833</v>
      </c>
      <c r="AI20" t="str">
        <v>PASS</v>
      </c>
      <c r="AJ20" t="str">
        <v/>
      </c>
      <c r="AK20" t="str">
        <v>STAGING-PROVISIONS-2026-R1</v>
      </c>
    </row>
    <row r="21">
      <c r="A21" t="str">
        <v>B02</v>
      </c>
      <c r="B21" t="str">
        <v>B</v>
      </c>
      <c r="C21" t="str">
        <v>Isolation tenant B et totaux distincts</v>
      </c>
      <c r="D21" t="str">
        <v>VAL26-B-B02</v>
      </c>
      <c r="E21" t="str">
        <v>2014-01-01</v>
      </c>
      <c r="F21" t="str">
        <v>2026-08-03</v>
      </c>
      <c r="G21" s="2" t="n">
        <v>151</v>
      </c>
      <c r="H21" t="n">
        <v>7.1667</v>
      </c>
      <c r="I21" s="2" t="n">
        <v>8</v>
      </c>
      <c r="J21" t="n">
        <v>190000.0</v>
      </c>
      <c r="K21" t="n">
        <v>25000.0</v>
      </c>
      <c r="L21" s="1">
        <f>ROUND(J21+K21,0)</f>
        <v>215000</v>
      </c>
      <c r="M21" s="1">
        <f>IF(I21=0,L21*12,SUMIFS('Périodes'!$K$2:$K$241,'Périodes'!$A$2:$A$241,A21,'Périodes'!$E$2:$E$241,"FINALIZED"))</f>
        <v>1840000</v>
      </c>
      <c r="N21" s="1">
        <f>IF(I21=0,L21,ROUND(M21/I21,0))</f>
        <v>230000</v>
      </c>
      <c r="O21" s="3">
        <f>ROUND(H21*2.2,2)</f>
        <v>15.77</v>
      </c>
      <c r="P21" s="3">
        <f>IF(G21&gt;=360,8,IF(G21&gt;=300,7,IF(G21&gt;=240,5,IF(G21&gt;=180,3,IF(G21&gt;=120,2,IF(G21&gt;=60,1,0))))))</f>
        <v>2</v>
      </c>
      <c r="Q21" s="3">
        <f>CEILING(O21,1)+P21</f>
        <v>18</v>
      </c>
      <c r="R21" t="n">
        <v>0.0</v>
      </c>
      <c r="S21" t="n">
        <v>0</v>
      </c>
      <c r="T21" t="n">
        <v>0</v>
      </c>
      <c r="U21" t="n">
        <v>0</v>
      </c>
      <c r="V21" s="3">
        <f>ROUND(R21+S21+Q21-T21-U21,2)</f>
        <v>18</v>
      </c>
      <c r="W21" s="1">
        <f>ROUND(N21/26,0)</f>
        <v>8846</v>
      </c>
      <c r="X21" s="1">
        <f>ROUND(MAX(0,V21)*(N21/26),0)</f>
        <v>159231</v>
      </c>
      <c r="Y21" s="1">
        <f>IF(OR(M21=0,Q21=0),0,ROUND(M21*10%*MAX(0,V21)/MAX(Q21,1),0))</f>
        <v>184000</v>
      </c>
      <c r="Z21" t="str">
        <f>IF(Y21&gt;X21,"TENTH","SALARY_MAINTENANCE")</f>
        <v>TENTH</v>
      </c>
      <c r="AA21" s="1">
        <f>MAX(X21,Y21)</f>
        <v>184000</v>
      </c>
      <c r="AB21" s="3">
        <f>IF(G21&lt;12,0,MIN(G21,60))</f>
        <v>60</v>
      </c>
      <c r="AC21" s="1">
        <f>ROUND(N21*(AB21/12)*30%,0)</f>
        <v>345000</v>
      </c>
      <c r="AD21" s="3">
        <f>IF(G21&lt;12,0,MAX(0,MIN(G21-60,60)))</f>
        <v>60</v>
      </c>
      <c r="AE21" s="1">
        <f>ROUND(N21*(AD21/12)*35%,0)</f>
        <v>402500</v>
      </c>
      <c r="AF21" s="3">
        <f>IF(G21&lt;12,0,MAX(0,G21-120))</f>
        <v>31</v>
      </c>
      <c r="AG21" s="1">
        <f>ROUND(N21*(AF21/12)*40%,0)</f>
        <v>237667</v>
      </c>
      <c r="AH21" s="1">
        <f>AC21+AE21+AG21</f>
        <v>985167</v>
      </c>
      <c r="AI21" t="str">
        <v>PASS</v>
      </c>
      <c r="AJ21" t="str">
        <v/>
      </c>
      <c r="AK21" t="str">
        <v>STAGING-PROVISIONS-2026-R1</v>
      </c>
    </row>
  </sheetData>
  <autoFilter ref="A1:AK21"/>
  <ignoredErrors>
    <ignoredError numberStoredAsText="1" sqref="A1:AK21"/>
  </ignoredErrors>
</worksheet>
</file>

<file path=xl/worksheets/sheet4.xml><?xml version="1.0" encoding="utf-8"?>
<worksheet xmlns="http://schemas.openxmlformats.org/spreadsheetml/2006/main">
  <dimension ref="A1:AH21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  <col min="13" max="13" width="16.83203125" customWidth="1"/>
    <col min="14" max="14" width="16.83203125" customWidth="1"/>
    <col min="15" max="15" width="16.83203125" customWidth="1"/>
    <col min="16" max="16" width="16.83203125" customWidth="1"/>
    <col min="17" max="17" width="16.83203125" customWidth="1"/>
    <col min="18" max="18" width="16.83203125" customWidth="1"/>
    <col min="19" max="19" width="16.83203125" customWidth="1"/>
    <col min="20" max="20" width="16.83203125" customWidth="1"/>
    <col min="21" max="21" width="16.83203125" customWidth="1"/>
    <col min="22" max="22" width="16.83203125" customWidth="1"/>
    <col min="23" max="23" width="16.83203125" customWidth="1"/>
    <col min="24" max="24" width="16.83203125" customWidth="1"/>
    <col min="25" max="25" width="16.83203125" customWidth="1"/>
    <col min="26" max="26" width="16.83203125" customWidth="1"/>
    <col min="27" max="27" width="16.83203125" customWidth="1"/>
    <col min="28" max="28" width="16.83203125" customWidth="1"/>
    <col min="29" max="29" width="16.83203125" customWidth="1"/>
    <col min="30" max="30" width="16.83203125" customWidth="1"/>
    <col min="31" max="31" width="16.83203125" customWidth="1"/>
    <col min="32" max="32" width="16.83203125" customWidth="1"/>
    <col min="33" max="33" width="16.83203125" customWidth="1"/>
    <col min="34" max="34" width="16.83203125" customWidth="1"/>
  </cols>
  <sheetData>
    <row r="1">
      <c r="A1" t="str">
        <v>Cas</v>
      </c>
      <c r="B1" t="str">
        <v>Tenant</v>
      </c>
      <c r="C1" t="str">
        <v>Matricule validation</v>
      </c>
      <c r="D1" t="str">
        <v>Date embauche</v>
      </c>
      <c r="E1" t="str">
        <v>Ancienneté mois</v>
      </c>
      <c r="F1" t="str">
        <v>Mois paie utilisés</v>
      </c>
      <c r="G1" t="str">
        <v>Jan</v>
      </c>
      <c r="H1" t="str">
        <v>Fév</v>
      </c>
      <c r="I1" t="str">
        <v>Mar</v>
      </c>
      <c r="J1" t="str">
        <v>Avr</v>
      </c>
      <c r="K1" t="str">
        <v>Mai</v>
      </c>
      <c r="L1" t="str">
        <v>Juin</v>
      </c>
      <c r="M1" t="str">
        <v>Juil</v>
      </c>
      <c r="N1" t="str">
        <v>Août</v>
      </c>
      <c r="O1" t="str">
        <v>Sep</v>
      </c>
      <c r="P1" t="str">
        <v>Oct</v>
      </c>
      <c r="Q1" t="str">
        <v>Nov</v>
      </c>
      <c r="R1" t="str">
        <v>Déc</v>
      </c>
      <c r="S1" t="str">
        <v>Total 12 mois</v>
      </c>
      <c r="T1" t="str">
        <v>Salaire moyen</v>
      </c>
      <c r="U1" t="str">
        <v>Droits acquis</v>
      </c>
      <c r="V1" t="str">
        <v>Solde final</v>
      </c>
      <c r="W1" t="str">
        <v>Taux journalier</v>
      </c>
      <c r="X1" t="str">
        <v>Maintien</v>
      </c>
      <c r="Y1" t="str">
        <v>Dizième</v>
      </c>
      <c r="Z1" t="str">
        <v>Méthode</v>
      </c>
      <c r="AA1" t="str">
        <v>Provision congés</v>
      </c>
      <c r="AB1" t="str">
        <v>Tranche 1 (30 %)</v>
      </c>
      <c r="AC1" t="str">
        <v>Tranche 2 (35 %)</v>
      </c>
      <c r="AD1" t="str">
        <v>Tranche 3 (40 %)</v>
      </c>
      <c r="AE1" t="str">
        <v>Exposition licenciement</v>
      </c>
      <c r="AF1" t="str">
        <v>Exposition totale</v>
      </c>
      <c r="AG1" t="str">
        <v>Statut</v>
      </c>
      <c r="AH1" t="str">
        <v>Commentaire</v>
      </c>
    </row>
    <row r="2">
      <c r="A2" t="str">
        <v>C01</v>
      </c>
      <c r="B2" t="str">
        <v>A</v>
      </c>
      <c r="C2" t="str">
        <f>'Détails'!D2</f>
        <v>VAL26-A-C01</v>
      </c>
      <c r="D2" t="str">
        <f>'Détails'!E2</f>
        <v>2026-02-03</v>
      </c>
      <c r="E2">
        <f>'Détails'!G2</f>
        <v>6</v>
      </c>
      <c r="F2">
        <f>'Détails'!I2</f>
        <v>6</v>
      </c>
      <c r="G2" s="1">
        <f>SUMIFS('Périodes'!$K$2:$K$241,'Périodes'!$A$2:$A$241,A2,'Périodes'!$C$2:$C$241,2026,'Périodes'!$D$2:$D$241,1,'Périodes'!$E$2:$E$241,"FINALIZED")</f>
        <v>0</v>
      </c>
      <c r="H2" s="1">
        <f>SUMIFS('Périodes'!$K$2:$K$241,'Périodes'!$A$2:$A$241,A2,'Périodes'!$C$2:$C$241,2026,'Périodes'!$D$2:$D$241,2,'Périodes'!$E$2:$E$241,"FINALIZED")</f>
        <v>0</v>
      </c>
      <c r="I2" s="1">
        <f>SUMIFS('Périodes'!$K$2:$K$241,'Périodes'!$A$2:$A$241,A2,'Périodes'!$C$2:$C$241,2026,'Périodes'!$D$2:$D$241,3,'Périodes'!$E$2:$E$241,"FINALIZED")</f>
        <v>250000</v>
      </c>
      <c r="J2" s="1">
        <f>SUMIFS('Périodes'!$K$2:$K$241,'Périodes'!$A$2:$A$241,A2,'Périodes'!$C$2:$C$241,2026,'Périodes'!$D$2:$D$241,4,'Périodes'!$E$2:$E$241,"FINALIZED")</f>
        <v>250000</v>
      </c>
      <c r="K2" s="1">
        <f>SUMIFS('Périodes'!$K$2:$K$241,'Périodes'!$A$2:$A$241,A2,'Périodes'!$C$2:$C$241,2026,'Périodes'!$D$2:$D$241,5,'Périodes'!$E$2:$E$241,"FINALIZED")</f>
        <v>250000</v>
      </c>
      <c r="L2" s="1">
        <f>SUMIFS('Périodes'!$K$2:$K$241,'Périodes'!$A$2:$A$241,A2,'Périodes'!$C$2:$C$241,2026,'Périodes'!$D$2:$D$241,6,'Périodes'!$E$2:$E$241,"FINALIZED")</f>
        <v>250000</v>
      </c>
      <c r="M2" s="1">
        <f>SUMIFS('Périodes'!$K$2:$K$241,'Périodes'!$A$2:$A$241,A2,'Périodes'!$C$2:$C$241,2026,'Périodes'!$D$2:$D$241,7,'Périodes'!$E$2:$E$241,"FINALIZED")</f>
        <v>250000</v>
      </c>
      <c r="N2" s="1">
        <f>SUMIFS('Périodes'!$K$2:$K$241,'Périodes'!$A$2:$A$241,A2,'Périodes'!$C$2:$C$241,2026,'Périodes'!$D$2:$D$241,8,'Périodes'!$E$2:$E$241,"FINALIZED")</f>
        <v>250000</v>
      </c>
      <c r="O2" s="1">
        <f>SUMIFS('Périodes'!$K$2:$K$241,'Périodes'!$A$2:$A$241,A2,'Périodes'!$C$2:$C$241,2026,'Périodes'!$D$2:$D$241,9,'Périodes'!$E$2:$E$241,"FINALIZED")</f>
        <v>0</v>
      </c>
      <c r="P2" s="1">
        <f>SUMIFS('Périodes'!$K$2:$K$241,'Périodes'!$A$2:$A$241,A2,'Périodes'!$C$2:$C$241,2026,'Périodes'!$D$2:$D$241,10,'Périodes'!$E$2:$E$241,"FINALIZED")</f>
        <v>0</v>
      </c>
      <c r="Q2" s="1">
        <f>SUMIFS('Périodes'!$K$2:$K$241,'Périodes'!$A$2:$A$241,A2,'Périodes'!$C$2:$C$241,2026,'Périodes'!$D$2:$D$241,11,'Périodes'!$E$2:$E$241,"FINALIZED")</f>
        <v>0</v>
      </c>
      <c r="R2" s="1">
        <f>SUMIFS('Périodes'!$K$2:$K$241,'Périodes'!$A$2:$A$241,A2,'Périodes'!$C$2:$C$241,2026,'Périodes'!$D$2:$D$241,12,'Périodes'!$E$2:$E$241,"FINALIZED")</f>
        <v>0</v>
      </c>
      <c r="S2" s="1">
        <f>'Détails'!M2</f>
        <v>1500000</v>
      </c>
      <c r="T2" s="1">
        <f>'Détails'!N2</f>
        <v>250000</v>
      </c>
      <c r="U2" s="3">
        <f>'Détails'!Q2</f>
        <v>14</v>
      </c>
      <c r="V2" s="3">
        <f>'Détails'!V2</f>
        <v>14</v>
      </c>
      <c r="W2" s="1">
        <f>'Détails'!W2</f>
        <v>9615</v>
      </c>
      <c r="X2" s="1">
        <f>'Détails'!X2</f>
        <v>134615</v>
      </c>
      <c r="Y2" s="1">
        <f>'Détails'!Y2</f>
        <v>150000</v>
      </c>
      <c r="Z2" t="str">
        <f>'Détails'!Z2</f>
        <v>TENTH</v>
      </c>
      <c r="AA2" s="1">
        <f>'Détails'!AA2</f>
        <v>150000</v>
      </c>
      <c r="AB2" s="1">
        <f>'Détails'!AC2</f>
        <v>0</v>
      </c>
      <c r="AC2" s="1">
        <f>'Détails'!AE2</f>
        <v>0</v>
      </c>
      <c r="AD2" s="1">
        <f>'Détails'!AG2</f>
        <v>0</v>
      </c>
      <c r="AE2" s="1">
        <f>'Détails'!AH2</f>
        <v>0</v>
      </c>
      <c r="AF2" s="1">
        <f>AA2+AE2</f>
        <v>150000</v>
      </c>
      <c r="AG2" t="str">
        <f>'Détails'!AI2</f>
        <v>PASS</v>
      </c>
      <c r="AH2" t="str">
        <f>'Détails'!AJ2</f>
        <v/>
      </c>
    </row>
    <row r="3">
      <c r="A3" t="str">
        <v>C02</v>
      </c>
      <c r="B3" t="str">
        <v>A</v>
      </c>
      <c r="C3" t="str">
        <f>'Détails'!D3</f>
        <v>VAL26-A-C02</v>
      </c>
      <c r="D3" t="str">
        <f>'Détails'!E3</f>
        <v>2023-08-03</v>
      </c>
      <c r="E3">
        <f>'Détails'!G3</f>
        <v>36</v>
      </c>
      <c r="F3">
        <f>'Détails'!I3</f>
        <v>8</v>
      </c>
      <c r="G3" s="1">
        <f>SUMIFS('Périodes'!$K$2:$K$241,'Périodes'!$A$2:$A$241,A3,'Périodes'!$C$2:$C$241,2026,'Périodes'!$D$2:$D$241,1,'Périodes'!$E$2:$E$241,"FINALIZED")</f>
        <v>260000</v>
      </c>
      <c r="H3" s="1">
        <f>SUMIFS('Périodes'!$K$2:$K$241,'Périodes'!$A$2:$A$241,A3,'Périodes'!$C$2:$C$241,2026,'Périodes'!$D$2:$D$241,2,'Périodes'!$E$2:$E$241,"FINALIZED")</f>
        <v>260000</v>
      </c>
      <c r="I3" s="1">
        <f>SUMIFS('Périodes'!$K$2:$K$241,'Périodes'!$A$2:$A$241,A3,'Périodes'!$C$2:$C$241,2026,'Périodes'!$D$2:$D$241,3,'Périodes'!$E$2:$E$241,"FINALIZED")</f>
        <v>260000</v>
      </c>
      <c r="J3" s="1">
        <f>SUMIFS('Périodes'!$K$2:$K$241,'Périodes'!$A$2:$A$241,A3,'Périodes'!$C$2:$C$241,2026,'Périodes'!$D$2:$D$241,4,'Périodes'!$E$2:$E$241,"FINALIZED")</f>
        <v>260000</v>
      </c>
      <c r="K3" s="1">
        <f>SUMIFS('Périodes'!$K$2:$K$241,'Périodes'!$A$2:$A$241,A3,'Périodes'!$C$2:$C$241,2026,'Périodes'!$D$2:$D$241,5,'Périodes'!$E$2:$E$241,"FINALIZED")</f>
        <v>260000</v>
      </c>
      <c r="L3" s="1">
        <f>SUMIFS('Périodes'!$K$2:$K$241,'Périodes'!$A$2:$A$241,A3,'Périodes'!$C$2:$C$241,2026,'Périodes'!$D$2:$D$241,6,'Périodes'!$E$2:$E$241,"FINALIZED")</f>
        <v>260000</v>
      </c>
      <c r="M3" s="1">
        <f>SUMIFS('Périodes'!$K$2:$K$241,'Périodes'!$A$2:$A$241,A3,'Périodes'!$C$2:$C$241,2026,'Périodes'!$D$2:$D$241,7,'Périodes'!$E$2:$E$241,"FINALIZED")</f>
        <v>260000</v>
      </c>
      <c r="N3" s="1">
        <f>SUMIFS('Périodes'!$K$2:$K$241,'Périodes'!$A$2:$A$241,A3,'Périodes'!$C$2:$C$241,2026,'Périodes'!$D$2:$D$241,8,'Périodes'!$E$2:$E$241,"FINALIZED")</f>
        <v>260000</v>
      </c>
      <c r="O3" s="1">
        <f>SUMIFS('Périodes'!$K$2:$K$241,'Périodes'!$A$2:$A$241,A3,'Périodes'!$C$2:$C$241,2026,'Périodes'!$D$2:$D$241,9,'Périodes'!$E$2:$E$241,"FINALIZED")</f>
        <v>0</v>
      </c>
      <c r="P3" s="1">
        <f>SUMIFS('Périodes'!$K$2:$K$241,'Périodes'!$A$2:$A$241,A3,'Périodes'!$C$2:$C$241,2026,'Périodes'!$D$2:$D$241,10,'Périodes'!$E$2:$E$241,"FINALIZED")</f>
        <v>0</v>
      </c>
      <c r="Q3" s="1">
        <f>SUMIFS('Périodes'!$K$2:$K$241,'Périodes'!$A$2:$A$241,A3,'Périodes'!$C$2:$C$241,2026,'Périodes'!$D$2:$D$241,11,'Périodes'!$E$2:$E$241,"FINALIZED")</f>
        <v>0</v>
      </c>
      <c r="R3" s="1">
        <f>SUMIFS('Périodes'!$K$2:$K$241,'Périodes'!$A$2:$A$241,A3,'Périodes'!$C$2:$C$241,2026,'Périodes'!$D$2:$D$241,12,'Périodes'!$E$2:$E$241,"FINALIZED")</f>
        <v>0</v>
      </c>
      <c r="S3" s="1">
        <f>'Détails'!M3</f>
        <v>2080000</v>
      </c>
      <c r="T3" s="1">
        <f>'Détails'!N3</f>
        <v>260000</v>
      </c>
      <c r="U3" s="3">
        <f>'Détails'!Q3</f>
        <v>16</v>
      </c>
      <c r="V3" s="3">
        <f>'Détails'!V3</f>
        <v>16</v>
      </c>
      <c r="W3" s="1">
        <f>'Détails'!W3</f>
        <v>10000</v>
      </c>
      <c r="X3" s="1">
        <f>'Détails'!X3</f>
        <v>160000</v>
      </c>
      <c r="Y3" s="1">
        <f>'Détails'!Y3</f>
        <v>208000</v>
      </c>
      <c r="Z3" t="str">
        <f>'Détails'!Z3</f>
        <v>TENTH</v>
      </c>
      <c r="AA3" s="1">
        <f>'Détails'!AA3</f>
        <v>208000</v>
      </c>
      <c r="AB3" s="1">
        <f>'Détails'!AC3</f>
        <v>234000</v>
      </c>
      <c r="AC3" s="1">
        <f>'Détails'!AE3</f>
        <v>0</v>
      </c>
      <c r="AD3" s="1">
        <f>'Détails'!AG3</f>
        <v>0</v>
      </c>
      <c r="AE3" s="1">
        <f>'Détails'!AH3</f>
        <v>234000</v>
      </c>
      <c r="AF3" s="1">
        <f>AA3+AE3</f>
        <v>442000</v>
      </c>
      <c r="AG3" t="str">
        <f>'Détails'!AI3</f>
        <v>PASS</v>
      </c>
      <c r="AH3" t="str">
        <f>'Détails'!AJ3</f>
        <v/>
      </c>
    </row>
    <row r="4">
      <c r="A4" t="str">
        <v>C03</v>
      </c>
      <c r="B4" t="str">
        <v>A</v>
      </c>
      <c r="C4" t="str">
        <f>'Détails'!D4</f>
        <v>VAL26-A-C03</v>
      </c>
      <c r="D4" t="str">
        <f>'Détails'!E4</f>
        <v>2018-08-03</v>
      </c>
      <c r="E4">
        <f>'Détails'!G4</f>
        <v>96</v>
      </c>
      <c r="F4">
        <f>'Détails'!I4</f>
        <v>8</v>
      </c>
      <c r="G4" s="1">
        <f>SUMIFS('Périodes'!$K$2:$K$241,'Périodes'!$A$2:$A$241,A4,'Périodes'!$C$2:$C$241,2026,'Périodes'!$D$2:$D$241,1,'Périodes'!$E$2:$E$241,"FINALIZED")</f>
        <v>280000</v>
      </c>
      <c r="H4" s="1">
        <f>SUMIFS('Périodes'!$K$2:$K$241,'Périodes'!$A$2:$A$241,A4,'Périodes'!$C$2:$C$241,2026,'Périodes'!$D$2:$D$241,2,'Périodes'!$E$2:$E$241,"FINALIZED")</f>
        <v>280000</v>
      </c>
      <c r="I4" s="1">
        <f>SUMIFS('Périodes'!$K$2:$K$241,'Périodes'!$A$2:$A$241,A4,'Périodes'!$C$2:$C$241,2026,'Périodes'!$D$2:$D$241,3,'Périodes'!$E$2:$E$241,"FINALIZED")</f>
        <v>280000</v>
      </c>
      <c r="J4" s="1">
        <f>SUMIFS('Périodes'!$K$2:$K$241,'Périodes'!$A$2:$A$241,A4,'Périodes'!$C$2:$C$241,2026,'Périodes'!$D$2:$D$241,4,'Périodes'!$E$2:$E$241,"FINALIZED")</f>
        <v>280000</v>
      </c>
      <c r="K4" s="1">
        <f>SUMIFS('Périodes'!$K$2:$K$241,'Périodes'!$A$2:$A$241,A4,'Périodes'!$C$2:$C$241,2026,'Périodes'!$D$2:$D$241,5,'Périodes'!$E$2:$E$241,"FINALIZED")</f>
        <v>280000</v>
      </c>
      <c r="L4" s="1">
        <f>SUMIFS('Périodes'!$K$2:$K$241,'Périodes'!$A$2:$A$241,A4,'Périodes'!$C$2:$C$241,2026,'Périodes'!$D$2:$D$241,6,'Périodes'!$E$2:$E$241,"FINALIZED")</f>
        <v>280000</v>
      </c>
      <c r="M4" s="1">
        <f>SUMIFS('Périodes'!$K$2:$K$241,'Périodes'!$A$2:$A$241,A4,'Périodes'!$C$2:$C$241,2026,'Périodes'!$D$2:$D$241,7,'Périodes'!$E$2:$E$241,"FINALIZED")</f>
        <v>280000</v>
      </c>
      <c r="N4" s="1">
        <f>SUMIFS('Périodes'!$K$2:$K$241,'Périodes'!$A$2:$A$241,A4,'Périodes'!$C$2:$C$241,2026,'Périodes'!$D$2:$D$241,8,'Périodes'!$E$2:$E$241,"FINALIZED")</f>
        <v>280000</v>
      </c>
      <c r="O4" s="1">
        <f>SUMIFS('Périodes'!$K$2:$K$241,'Périodes'!$A$2:$A$241,A4,'Périodes'!$C$2:$C$241,2026,'Périodes'!$D$2:$D$241,9,'Périodes'!$E$2:$E$241,"FINALIZED")</f>
        <v>0</v>
      </c>
      <c r="P4" s="1">
        <f>SUMIFS('Périodes'!$K$2:$K$241,'Périodes'!$A$2:$A$241,A4,'Périodes'!$C$2:$C$241,2026,'Périodes'!$D$2:$D$241,10,'Périodes'!$E$2:$E$241,"FINALIZED")</f>
        <v>0</v>
      </c>
      <c r="Q4" s="1">
        <f>SUMIFS('Périodes'!$K$2:$K$241,'Périodes'!$A$2:$A$241,A4,'Périodes'!$C$2:$C$241,2026,'Périodes'!$D$2:$D$241,11,'Périodes'!$E$2:$E$241,"FINALIZED")</f>
        <v>0</v>
      </c>
      <c r="R4" s="1">
        <f>SUMIFS('Périodes'!$K$2:$K$241,'Périodes'!$A$2:$A$241,A4,'Périodes'!$C$2:$C$241,2026,'Périodes'!$D$2:$D$241,12,'Périodes'!$E$2:$E$241,"FINALIZED")</f>
        <v>0</v>
      </c>
      <c r="S4" s="1">
        <f>'Détails'!M4</f>
        <v>2240000</v>
      </c>
      <c r="T4" s="1">
        <f>'Détails'!N4</f>
        <v>280000</v>
      </c>
      <c r="U4" s="3">
        <f>'Détails'!Q4</f>
        <v>17</v>
      </c>
      <c r="V4" s="3">
        <f>'Détails'!V4</f>
        <v>17</v>
      </c>
      <c r="W4" s="1">
        <f>'Détails'!W4</f>
        <v>10769</v>
      </c>
      <c r="X4" s="1">
        <f>'Détails'!X4</f>
        <v>183077</v>
      </c>
      <c r="Y4" s="1">
        <f>'Détails'!Y4</f>
        <v>224000</v>
      </c>
      <c r="Z4" t="str">
        <f>'Détails'!Z4</f>
        <v>TENTH</v>
      </c>
      <c r="AA4" s="1">
        <f>'Détails'!AA4</f>
        <v>224000</v>
      </c>
      <c r="AB4" s="1">
        <f>'Détails'!AC4</f>
        <v>420000</v>
      </c>
      <c r="AC4" s="1">
        <f>'Détails'!AE4</f>
        <v>294000</v>
      </c>
      <c r="AD4" s="1">
        <f>'Détails'!AG4</f>
        <v>0</v>
      </c>
      <c r="AE4" s="1">
        <f>'Détails'!AH4</f>
        <v>714000</v>
      </c>
      <c r="AF4" s="1">
        <f>AA4+AE4</f>
        <v>938000</v>
      </c>
      <c r="AG4" t="str">
        <f>'Détails'!AI4</f>
        <v>PASS</v>
      </c>
      <c r="AH4" t="str">
        <f>'Détails'!AJ4</f>
        <v/>
      </c>
    </row>
    <row r="5">
      <c r="A5" t="str">
        <v>C04</v>
      </c>
      <c r="B5" t="str">
        <v>A</v>
      </c>
      <c r="C5" t="str">
        <f>'Détails'!D5</f>
        <v>VAL26-A-C04</v>
      </c>
      <c r="D5" t="str">
        <f>'Détails'!E5</f>
        <v>2011-08-03</v>
      </c>
      <c r="E5">
        <f>'Détails'!G5</f>
        <v>180</v>
      </c>
      <c r="F5">
        <f>'Détails'!I5</f>
        <v>8</v>
      </c>
      <c r="G5" s="1">
        <f>SUMIFS('Périodes'!$K$2:$K$241,'Périodes'!$A$2:$A$241,A5,'Périodes'!$C$2:$C$241,2026,'Périodes'!$D$2:$D$241,1,'Périodes'!$E$2:$E$241,"FINALIZED")</f>
        <v>300000</v>
      </c>
      <c r="H5" s="1">
        <f>SUMIFS('Périodes'!$K$2:$K$241,'Périodes'!$A$2:$A$241,A5,'Périodes'!$C$2:$C$241,2026,'Périodes'!$D$2:$D$241,2,'Périodes'!$E$2:$E$241,"FINALIZED")</f>
        <v>300000</v>
      </c>
      <c r="I5" s="1">
        <f>SUMIFS('Périodes'!$K$2:$K$241,'Périodes'!$A$2:$A$241,A5,'Périodes'!$C$2:$C$241,2026,'Périodes'!$D$2:$D$241,3,'Périodes'!$E$2:$E$241,"FINALIZED")</f>
        <v>300000</v>
      </c>
      <c r="J5" s="1">
        <f>SUMIFS('Périodes'!$K$2:$K$241,'Périodes'!$A$2:$A$241,A5,'Périodes'!$C$2:$C$241,2026,'Périodes'!$D$2:$D$241,4,'Périodes'!$E$2:$E$241,"FINALIZED")</f>
        <v>300000</v>
      </c>
      <c r="K5" s="1">
        <f>SUMIFS('Périodes'!$K$2:$K$241,'Périodes'!$A$2:$A$241,A5,'Périodes'!$C$2:$C$241,2026,'Périodes'!$D$2:$D$241,5,'Périodes'!$E$2:$E$241,"FINALIZED")</f>
        <v>300000</v>
      </c>
      <c r="L5" s="1">
        <f>SUMIFS('Périodes'!$K$2:$K$241,'Périodes'!$A$2:$A$241,A5,'Périodes'!$C$2:$C$241,2026,'Périodes'!$D$2:$D$241,6,'Périodes'!$E$2:$E$241,"FINALIZED")</f>
        <v>300000</v>
      </c>
      <c r="M5" s="1">
        <f>SUMIFS('Périodes'!$K$2:$K$241,'Périodes'!$A$2:$A$241,A5,'Périodes'!$C$2:$C$241,2026,'Périodes'!$D$2:$D$241,7,'Périodes'!$E$2:$E$241,"FINALIZED")</f>
        <v>300000</v>
      </c>
      <c r="N5" s="1">
        <f>SUMIFS('Périodes'!$K$2:$K$241,'Périodes'!$A$2:$A$241,A5,'Périodes'!$C$2:$C$241,2026,'Périodes'!$D$2:$D$241,8,'Périodes'!$E$2:$E$241,"FINALIZED")</f>
        <v>300000</v>
      </c>
      <c r="O5" s="1">
        <f>SUMIFS('Périodes'!$K$2:$K$241,'Périodes'!$A$2:$A$241,A5,'Périodes'!$C$2:$C$241,2026,'Périodes'!$D$2:$D$241,9,'Périodes'!$E$2:$E$241,"FINALIZED")</f>
        <v>0</v>
      </c>
      <c r="P5" s="1">
        <f>SUMIFS('Périodes'!$K$2:$K$241,'Périodes'!$A$2:$A$241,A5,'Périodes'!$C$2:$C$241,2026,'Périodes'!$D$2:$D$241,10,'Périodes'!$E$2:$E$241,"FINALIZED")</f>
        <v>0</v>
      </c>
      <c r="Q5" s="1">
        <f>SUMIFS('Périodes'!$K$2:$K$241,'Périodes'!$A$2:$A$241,A5,'Périodes'!$C$2:$C$241,2026,'Périodes'!$D$2:$D$241,11,'Périodes'!$E$2:$E$241,"FINALIZED")</f>
        <v>0</v>
      </c>
      <c r="R5" s="1">
        <f>SUMIFS('Périodes'!$K$2:$K$241,'Périodes'!$A$2:$A$241,A5,'Périodes'!$C$2:$C$241,2026,'Périodes'!$D$2:$D$241,12,'Périodes'!$E$2:$E$241,"FINALIZED")</f>
        <v>0</v>
      </c>
      <c r="S5" s="1">
        <f>'Détails'!M5</f>
        <v>2400000</v>
      </c>
      <c r="T5" s="1">
        <f>'Détails'!N5</f>
        <v>300000</v>
      </c>
      <c r="U5" s="3">
        <f>'Détails'!Q5</f>
        <v>19</v>
      </c>
      <c r="V5" s="3">
        <f>'Détails'!V5</f>
        <v>19</v>
      </c>
      <c r="W5" s="1">
        <f>'Détails'!W5</f>
        <v>11538</v>
      </c>
      <c r="X5" s="1">
        <f>'Détails'!X5</f>
        <v>219231</v>
      </c>
      <c r="Y5" s="1">
        <f>'Détails'!Y5</f>
        <v>240000</v>
      </c>
      <c r="Z5" t="str">
        <f>'Détails'!Z5</f>
        <v>TENTH</v>
      </c>
      <c r="AA5" s="1">
        <f>'Détails'!AA5</f>
        <v>240000</v>
      </c>
      <c r="AB5" s="1">
        <f>'Détails'!AC5</f>
        <v>450000</v>
      </c>
      <c r="AC5" s="1">
        <f>'Détails'!AE5</f>
        <v>525000</v>
      </c>
      <c r="AD5" s="1">
        <f>'Détails'!AG5</f>
        <v>600000</v>
      </c>
      <c r="AE5" s="1">
        <f>'Détails'!AH5</f>
        <v>1575000</v>
      </c>
      <c r="AF5" s="1">
        <f>AA5+AE5</f>
        <v>1815000</v>
      </c>
      <c r="AG5" t="str">
        <f>'Détails'!AI5</f>
        <v>PASS</v>
      </c>
      <c r="AH5" t="str">
        <f>'Détails'!AJ5</f>
        <v/>
      </c>
    </row>
    <row r="6">
      <c r="A6" t="str">
        <v>C05</v>
      </c>
      <c r="B6" t="str">
        <v>A</v>
      </c>
      <c r="C6" t="str">
        <f>'Détails'!D6</f>
        <v>VAL26-A-C05</v>
      </c>
      <c r="D6" t="str">
        <f>'Détails'!E6</f>
        <v>2021-08-03</v>
      </c>
      <c r="E6">
        <f>'Détails'!G6</f>
        <v>60</v>
      </c>
      <c r="F6">
        <f>'Détails'!I6</f>
        <v>8</v>
      </c>
      <c r="G6" s="1">
        <f>SUMIFS('Périodes'!$K$2:$K$241,'Périodes'!$A$2:$A$241,A6,'Périodes'!$C$2:$C$241,2026,'Périodes'!$D$2:$D$241,1,'Périodes'!$E$2:$E$241,"FINALIZED")</f>
        <v>240000</v>
      </c>
      <c r="H6" s="1">
        <f>SUMIFS('Périodes'!$K$2:$K$241,'Périodes'!$A$2:$A$241,A6,'Périodes'!$C$2:$C$241,2026,'Périodes'!$D$2:$D$241,2,'Périodes'!$E$2:$E$241,"FINALIZED")</f>
        <v>240000</v>
      </c>
      <c r="I6" s="1">
        <f>SUMIFS('Périodes'!$K$2:$K$241,'Périodes'!$A$2:$A$241,A6,'Périodes'!$C$2:$C$241,2026,'Périodes'!$D$2:$D$241,3,'Périodes'!$E$2:$E$241,"FINALIZED")</f>
        <v>240000</v>
      </c>
      <c r="J6" s="1">
        <f>SUMIFS('Périodes'!$K$2:$K$241,'Périodes'!$A$2:$A$241,A6,'Périodes'!$C$2:$C$241,2026,'Périodes'!$D$2:$D$241,4,'Périodes'!$E$2:$E$241,"FINALIZED")</f>
        <v>240000</v>
      </c>
      <c r="K6" s="1">
        <f>SUMIFS('Périodes'!$K$2:$K$241,'Périodes'!$A$2:$A$241,A6,'Périodes'!$C$2:$C$241,2026,'Périodes'!$D$2:$D$241,5,'Périodes'!$E$2:$E$241,"FINALIZED")</f>
        <v>240000</v>
      </c>
      <c r="L6" s="1">
        <f>SUMIFS('Périodes'!$K$2:$K$241,'Périodes'!$A$2:$A$241,A6,'Périodes'!$C$2:$C$241,2026,'Périodes'!$D$2:$D$241,6,'Périodes'!$E$2:$E$241,"FINALIZED")</f>
        <v>240000</v>
      </c>
      <c r="M6" s="1">
        <f>SUMIFS('Périodes'!$K$2:$K$241,'Périodes'!$A$2:$A$241,A6,'Périodes'!$C$2:$C$241,2026,'Périodes'!$D$2:$D$241,7,'Périodes'!$E$2:$E$241,"FINALIZED")</f>
        <v>240000</v>
      </c>
      <c r="N6" s="1">
        <f>SUMIFS('Périodes'!$K$2:$K$241,'Périodes'!$A$2:$A$241,A6,'Périodes'!$C$2:$C$241,2026,'Périodes'!$D$2:$D$241,8,'Périodes'!$E$2:$E$241,"FINALIZED")</f>
        <v>240000</v>
      </c>
      <c r="O6" s="1">
        <f>SUMIFS('Périodes'!$K$2:$K$241,'Périodes'!$A$2:$A$241,A6,'Périodes'!$C$2:$C$241,2026,'Périodes'!$D$2:$D$241,9,'Périodes'!$E$2:$E$241,"FINALIZED")</f>
        <v>0</v>
      </c>
      <c r="P6" s="1">
        <f>SUMIFS('Périodes'!$K$2:$K$241,'Périodes'!$A$2:$A$241,A6,'Périodes'!$C$2:$C$241,2026,'Périodes'!$D$2:$D$241,10,'Périodes'!$E$2:$E$241,"FINALIZED")</f>
        <v>0</v>
      </c>
      <c r="Q6" s="1">
        <f>SUMIFS('Périodes'!$K$2:$K$241,'Périodes'!$A$2:$A$241,A6,'Périodes'!$C$2:$C$241,2026,'Périodes'!$D$2:$D$241,11,'Périodes'!$E$2:$E$241,"FINALIZED")</f>
        <v>0</v>
      </c>
      <c r="R6" s="1">
        <f>SUMIFS('Périodes'!$K$2:$K$241,'Périodes'!$A$2:$A$241,A6,'Périodes'!$C$2:$C$241,2026,'Périodes'!$D$2:$D$241,12,'Périodes'!$E$2:$E$241,"FINALIZED")</f>
        <v>0</v>
      </c>
      <c r="S6" s="1">
        <f>'Détails'!M6</f>
        <v>1920000</v>
      </c>
      <c r="T6" s="1">
        <f>'Détails'!N6</f>
        <v>240000</v>
      </c>
      <c r="U6" s="3">
        <f>'Détails'!Q6</f>
        <v>17</v>
      </c>
      <c r="V6" s="3">
        <f>'Détails'!V6</f>
        <v>17</v>
      </c>
      <c r="W6" s="1">
        <f>'Détails'!W6</f>
        <v>9231</v>
      </c>
      <c r="X6" s="1">
        <f>'Détails'!X6</f>
        <v>156923</v>
      </c>
      <c r="Y6" s="1">
        <f>'Détails'!Y6</f>
        <v>192000</v>
      </c>
      <c r="Z6" t="str">
        <f>'Détails'!Z6</f>
        <v>TENTH</v>
      </c>
      <c r="AA6" s="1">
        <f>'Détails'!AA6</f>
        <v>192000</v>
      </c>
      <c r="AB6" s="1">
        <f>'Détails'!AC6</f>
        <v>360000</v>
      </c>
      <c r="AC6" s="1">
        <f>'Détails'!AE6</f>
        <v>0</v>
      </c>
      <c r="AD6" s="1">
        <f>'Détails'!AG6</f>
        <v>0</v>
      </c>
      <c r="AE6" s="1">
        <f>'Détails'!AH6</f>
        <v>360000</v>
      </c>
      <c r="AF6" s="1">
        <f>AA6+AE6</f>
        <v>552000</v>
      </c>
      <c r="AG6" t="str">
        <f>'Détails'!AI6</f>
        <v>PASS</v>
      </c>
      <c r="AH6" t="str">
        <f>'Détails'!AJ6</f>
        <v/>
      </c>
    </row>
    <row r="7">
      <c r="A7" t="str">
        <v>C06</v>
      </c>
      <c r="B7" t="str">
        <v>A</v>
      </c>
      <c r="C7" t="str">
        <f>'Détails'!D7</f>
        <v>VAL26-A-C06</v>
      </c>
      <c r="D7" t="str">
        <f>'Détails'!E7</f>
        <v>2016-08-03</v>
      </c>
      <c r="E7">
        <f>'Détails'!G7</f>
        <v>120</v>
      </c>
      <c r="F7">
        <f>'Détails'!I7</f>
        <v>8</v>
      </c>
      <c r="G7" s="1">
        <f>SUMIFS('Périodes'!$K$2:$K$241,'Périodes'!$A$2:$A$241,A7,'Périodes'!$C$2:$C$241,2026,'Périodes'!$D$2:$D$241,1,'Périodes'!$E$2:$E$241,"FINALIZED")</f>
        <v>245000</v>
      </c>
      <c r="H7" s="1">
        <f>SUMIFS('Périodes'!$K$2:$K$241,'Périodes'!$A$2:$A$241,A7,'Périodes'!$C$2:$C$241,2026,'Périodes'!$D$2:$D$241,2,'Périodes'!$E$2:$E$241,"FINALIZED")</f>
        <v>245000</v>
      </c>
      <c r="I7" s="1">
        <f>SUMIFS('Périodes'!$K$2:$K$241,'Périodes'!$A$2:$A$241,A7,'Périodes'!$C$2:$C$241,2026,'Périodes'!$D$2:$D$241,3,'Périodes'!$E$2:$E$241,"FINALIZED")</f>
        <v>245000</v>
      </c>
      <c r="J7" s="1">
        <f>SUMIFS('Périodes'!$K$2:$K$241,'Périodes'!$A$2:$A$241,A7,'Périodes'!$C$2:$C$241,2026,'Périodes'!$D$2:$D$241,4,'Périodes'!$E$2:$E$241,"FINALIZED")</f>
        <v>245000</v>
      </c>
      <c r="K7" s="1">
        <f>SUMIFS('Périodes'!$K$2:$K$241,'Périodes'!$A$2:$A$241,A7,'Périodes'!$C$2:$C$241,2026,'Périodes'!$D$2:$D$241,5,'Périodes'!$E$2:$E$241,"FINALIZED")</f>
        <v>245000</v>
      </c>
      <c r="L7" s="1">
        <f>SUMIFS('Périodes'!$K$2:$K$241,'Périodes'!$A$2:$A$241,A7,'Périodes'!$C$2:$C$241,2026,'Périodes'!$D$2:$D$241,6,'Périodes'!$E$2:$E$241,"FINALIZED")</f>
        <v>245000</v>
      </c>
      <c r="M7" s="1">
        <f>SUMIFS('Périodes'!$K$2:$K$241,'Périodes'!$A$2:$A$241,A7,'Périodes'!$C$2:$C$241,2026,'Périodes'!$D$2:$D$241,7,'Périodes'!$E$2:$E$241,"FINALIZED")</f>
        <v>245000</v>
      </c>
      <c r="N7" s="1">
        <f>SUMIFS('Périodes'!$K$2:$K$241,'Périodes'!$A$2:$A$241,A7,'Périodes'!$C$2:$C$241,2026,'Périodes'!$D$2:$D$241,8,'Périodes'!$E$2:$E$241,"FINALIZED")</f>
        <v>245000</v>
      </c>
      <c r="O7" s="1">
        <f>SUMIFS('Périodes'!$K$2:$K$241,'Périodes'!$A$2:$A$241,A7,'Périodes'!$C$2:$C$241,2026,'Périodes'!$D$2:$D$241,9,'Périodes'!$E$2:$E$241,"FINALIZED")</f>
        <v>0</v>
      </c>
      <c r="P7" s="1">
        <f>SUMIFS('Périodes'!$K$2:$K$241,'Périodes'!$A$2:$A$241,A7,'Périodes'!$C$2:$C$241,2026,'Périodes'!$D$2:$D$241,10,'Périodes'!$E$2:$E$241,"FINALIZED")</f>
        <v>0</v>
      </c>
      <c r="Q7" s="1">
        <f>SUMIFS('Périodes'!$K$2:$K$241,'Périodes'!$A$2:$A$241,A7,'Périodes'!$C$2:$C$241,2026,'Périodes'!$D$2:$D$241,11,'Périodes'!$E$2:$E$241,"FINALIZED")</f>
        <v>0</v>
      </c>
      <c r="R7" s="1">
        <f>SUMIFS('Périodes'!$K$2:$K$241,'Périodes'!$A$2:$A$241,A7,'Périodes'!$C$2:$C$241,2026,'Périodes'!$D$2:$D$241,12,'Périodes'!$E$2:$E$241,"FINALIZED")</f>
        <v>0</v>
      </c>
      <c r="S7" s="1">
        <f>'Détails'!M7</f>
        <v>1960000</v>
      </c>
      <c r="T7" s="1">
        <f>'Détails'!N7</f>
        <v>245000</v>
      </c>
      <c r="U7" s="3">
        <f>'Détails'!Q7</f>
        <v>18</v>
      </c>
      <c r="V7" s="3">
        <f>'Détails'!V7</f>
        <v>18</v>
      </c>
      <c r="W7" s="1">
        <f>'Détails'!W7</f>
        <v>9423</v>
      </c>
      <c r="X7" s="1">
        <f>'Détails'!X7</f>
        <v>169615</v>
      </c>
      <c r="Y7" s="1">
        <f>'Détails'!Y7</f>
        <v>196000</v>
      </c>
      <c r="Z7" t="str">
        <f>'Détails'!Z7</f>
        <v>TENTH</v>
      </c>
      <c r="AA7" s="1">
        <f>'Détails'!AA7</f>
        <v>196000</v>
      </c>
      <c r="AB7" s="1">
        <f>'Détails'!AC7</f>
        <v>367500</v>
      </c>
      <c r="AC7" s="1">
        <f>'Détails'!AE7</f>
        <v>428750</v>
      </c>
      <c r="AD7" s="1">
        <f>'Détails'!AG7</f>
        <v>0</v>
      </c>
      <c r="AE7" s="1">
        <f>'Détails'!AH7</f>
        <v>796250</v>
      </c>
      <c r="AF7" s="1">
        <f>AA7+AE7</f>
        <v>992250</v>
      </c>
      <c r="AG7" t="str">
        <f>'Détails'!AI7</f>
        <v>PASS</v>
      </c>
      <c r="AH7" t="str">
        <f>'Détails'!AJ7</f>
        <v/>
      </c>
    </row>
    <row r="8">
      <c r="A8" t="str">
        <v>C07</v>
      </c>
      <c r="B8" t="str">
        <v>A</v>
      </c>
      <c r="C8" t="str">
        <f>'Détails'!D8</f>
        <v>VAL26-A-C07</v>
      </c>
      <c r="D8" t="str">
        <f>'Détails'!E8</f>
        <v>2011-08-03</v>
      </c>
      <c r="E8">
        <f>'Détails'!G8</f>
        <v>180</v>
      </c>
      <c r="F8">
        <f>'Détails'!I8</f>
        <v>8</v>
      </c>
      <c r="G8" s="1">
        <f>SUMIFS('Périodes'!$K$2:$K$241,'Périodes'!$A$2:$A$241,A8,'Périodes'!$C$2:$C$241,2026,'Périodes'!$D$2:$D$241,1,'Périodes'!$E$2:$E$241,"FINALIZED")</f>
        <v>250000</v>
      </c>
      <c r="H8" s="1">
        <f>SUMIFS('Périodes'!$K$2:$K$241,'Périodes'!$A$2:$A$241,A8,'Périodes'!$C$2:$C$241,2026,'Périodes'!$D$2:$D$241,2,'Périodes'!$E$2:$E$241,"FINALIZED")</f>
        <v>250000</v>
      </c>
      <c r="I8" s="1">
        <f>SUMIFS('Périodes'!$K$2:$K$241,'Périodes'!$A$2:$A$241,A8,'Périodes'!$C$2:$C$241,2026,'Périodes'!$D$2:$D$241,3,'Périodes'!$E$2:$E$241,"FINALIZED")</f>
        <v>250000</v>
      </c>
      <c r="J8" s="1">
        <f>SUMIFS('Périodes'!$K$2:$K$241,'Périodes'!$A$2:$A$241,A8,'Périodes'!$C$2:$C$241,2026,'Périodes'!$D$2:$D$241,4,'Périodes'!$E$2:$E$241,"FINALIZED")</f>
        <v>250000</v>
      </c>
      <c r="K8" s="1">
        <f>SUMIFS('Périodes'!$K$2:$K$241,'Périodes'!$A$2:$A$241,A8,'Périodes'!$C$2:$C$241,2026,'Périodes'!$D$2:$D$241,5,'Périodes'!$E$2:$E$241,"FINALIZED")</f>
        <v>250000</v>
      </c>
      <c r="L8" s="1">
        <f>SUMIFS('Périodes'!$K$2:$K$241,'Périodes'!$A$2:$A$241,A8,'Périodes'!$C$2:$C$241,2026,'Périodes'!$D$2:$D$241,6,'Périodes'!$E$2:$E$241,"FINALIZED")</f>
        <v>250000</v>
      </c>
      <c r="M8" s="1">
        <f>SUMIFS('Périodes'!$K$2:$K$241,'Périodes'!$A$2:$A$241,A8,'Périodes'!$C$2:$C$241,2026,'Périodes'!$D$2:$D$241,7,'Périodes'!$E$2:$E$241,"FINALIZED")</f>
        <v>250000</v>
      </c>
      <c r="N8" s="1">
        <f>SUMIFS('Périodes'!$K$2:$K$241,'Périodes'!$A$2:$A$241,A8,'Périodes'!$C$2:$C$241,2026,'Périodes'!$D$2:$D$241,8,'Périodes'!$E$2:$E$241,"FINALIZED")</f>
        <v>250000</v>
      </c>
      <c r="O8" s="1">
        <f>SUMIFS('Périodes'!$K$2:$K$241,'Périodes'!$A$2:$A$241,A8,'Périodes'!$C$2:$C$241,2026,'Périodes'!$D$2:$D$241,9,'Périodes'!$E$2:$E$241,"FINALIZED")</f>
        <v>0</v>
      </c>
      <c r="P8" s="1">
        <f>SUMIFS('Périodes'!$K$2:$K$241,'Périodes'!$A$2:$A$241,A8,'Périodes'!$C$2:$C$241,2026,'Périodes'!$D$2:$D$241,10,'Périodes'!$E$2:$E$241,"FINALIZED")</f>
        <v>0</v>
      </c>
      <c r="Q8" s="1">
        <f>SUMIFS('Périodes'!$K$2:$K$241,'Périodes'!$A$2:$A$241,A8,'Périodes'!$C$2:$C$241,2026,'Périodes'!$D$2:$D$241,11,'Périodes'!$E$2:$E$241,"FINALIZED")</f>
        <v>0</v>
      </c>
      <c r="R8" s="1">
        <f>SUMIFS('Périodes'!$K$2:$K$241,'Périodes'!$A$2:$A$241,A8,'Périodes'!$C$2:$C$241,2026,'Périodes'!$D$2:$D$241,12,'Périodes'!$E$2:$E$241,"FINALIZED")</f>
        <v>0</v>
      </c>
      <c r="S8" s="1">
        <f>'Détails'!M8</f>
        <v>2000000</v>
      </c>
      <c r="T8" s="1">
        <f>'Détails'!N8</f>
        <v>250000</v>
      </c>
      <c r="U8" s="3">
        <f>'Détails'!Q8</f>
        <v>19</v>
      </c>
      <c r="V8" s="3">
        <f>'Détails'!V8</f>
        <v>19</v>
      </c>
      <c r="W8" s="1">
        <f>'Détails'!W8</f>
        <v>9615</v>
      </c>
      <c r="X8" s="1">
        <f>'Détails'!X8</f>
        <v>182692</v>
      </c>
      <c r="Y8" s="1">
        <f>'Détails'!Y8</f>
        <v>200000</v>
      </c>
      <c r="Z8" t="str">
        <f>'Détails'!Z8</f>
        <v>TENTH</v>
      </c>
      <c r="AA8" s="1">
        <f>'Détails'!AA8</f>
        <v>200000</v>
      </c>
      <c r="AB8" s="1">
        <f>'Détails'!AC8</f>
        <v>375000</v>
      </c>
      <c r="AC8" s="1">
        <f>'Détails'!AE8</f>
        <v>437500</v>
      </c>
      <c r="AD8" s="1">
        <f>'Détails'!AG8</f>
        <v>500000</v>
      </c>
      <c r="AE8" s="1">
        <f>'Détails'!AH8</f>
        <v>1312500</v>
      </c>
      <c r="AF8" s="1">
        <f>AA8+AE8</f>
        <v>1512500</v>
      </c>
      <c r="AG8" t="str">
        <f>'Détails'!AI8</f>
        <v>PASS</v>
      </c>
      <c r="AH8" t="str">
        <f>'Détails'!AJ8</f>
        <v/>
      </c>
    </row>
    <row r="9">
      <c r="A9" t="str">
        <v>C08</v>
      </c>
      <c r="B9" t="str">
        <v>A</v>
      </c>
      <c r="C9" t="str">
        <f>'Détails'!D9</f>
        <v>VAL26-A-C08</v>
      </c>
      <c r="D9" t="str">
        <f>'Détails'!E9</f>
        <v>2006-08-03</v>
      </c>
      <c r="E9">
        <f>'Détails'!G9</f>
        <v>240</v>
      </c>
      <c r="F9">
        <f>'Détails'!I9</f>
        <v>8</v>
      </c>
      <c r="G9" s="1">
        <f>SUMIFS('Périodes'!$K$2:$K$241,'Périodes'!$A$2:$A$241,A9,'Périodes'!$C$2:$C$241,2026,'Périodes'!$D$2:$D$241,1,'Périodes'!$E$2:$E$241,"FINALIZED")</f>
        <v>255000</v>
      </c>
      <c r="H9" s="1">
        <f>SUMIFS('Périodes'!$K$2:$K$241,'Périodes'!$A$2:$A$241,A9,'Périodes'!$C$2:$C$241,2026,'Périodes'!$D$2:$D$241,2,'Périodes'!$E$2:$E$241,"FINALIZED")</f>
        <v>255000</v>
      </c>
      <c r="I9" s="1">
        <f>SUMIFS('Périodes'!$K$2:$K$241,'Périodes'!$A$2:$A$241,A9,'Périodes'!$C$2:$C$241,2026,'Périodes'!$D$2:$D$241,3,'Périodes'!$E$2:$E$241,"FINALIZED")</f>
        <v>255000</v>
      </c>
      <c r="J9" s="1">
        <f>SUMIFS('Périodes'!$K$2:$K$241,'Périodes'!$A$2:$A$241,A9,'Périodes'!$C$2:$C$241,2026,'Périodes'!$D$2:$D$241,4,'Périodes'!$E$2:$E$241,"FINALIZED")</f>
        <v>255000</v>
      </c>
      <c r="K9" s="1">
        <f>SUMIFS('Périodes'!$K$2:$K$241,'Périodes'!$A$2:$A$241,A9,'Périodes'!$C$2:$C$241,2026,'Périodes'!$D$2:$D$241,5,'Périodes'!$E$2:$E$241,"FINALIZED")</f>
        <v>255000</v>
      </c>
      <c r="L9" s="1">
        <f>SUMIFS('Périodes'!$K$2:$K$241,'Périodes'!$A$2:$A$241,A9,'Périodes'!$C$2:$C$241,2026,'Périodes'!$D$2:$D$241,6,'Périodes'!$E$2:$E$241,"FINALIZED")</f>
        <v>255000</v>
      </c>
      <c r="M9" s="1">
        <f>SUMIFS('Périodes'!$K$2:$K$241,'Périodes'!$A$2:$A$241,A9,'Périodes'!$C$2:$C$241,2026,'Périodes'!$D$2:$D$241,7,'Périodes'!$E$2:$E$241,"FINALIZED")</f>
        <v>255000</v>
      </c>
      <c r="N9" s="1">
        <f>SUMIFS('Périodes'!$K$2:$K$241,'Périodes'!$A$2:$A$241,A9,'Périodes'!$C$2:$C$241,2026,'Périodes'!$D$2:$D$241,8,'Périodes'!$E$2:$E$241,"FINALIZED")</f>
        <v>255000</v>
      </c>
      <c r="O9" s="1">
        <f>SUMIFS('Périodes'!$K$2:$K$241,'Périodes'!$A$2:$A$241,A9,'Périodes'!$C$2:$C$241,2026,'Périodes'!$D$2:$D$241,9,'Périodes'!$E$2:$E$241,"FINALIZED")</f>
        <v>0</v>
      </c>
      <c r="P9" s="1">
        <f>SUMIFS('Périodes'!$K$2:$K$241,'Périodes'!$A$2:$A$241,A9,'Périodes'!$C$2:$C$241,2026,'Périodes'!$D$2:$D$241,10,'Périodes'!$E$2:$E$241,"FINALIZED")</f>
        <v>0</v>
      </c>
      <c r="Q9" s="1">
        <f>SUMIFS('Périodes'!$K$2:$K$241,'Périodes'!$A$2:$A$241,A9,'Périodes'!$C$2:$C$241,2026,'Périodes'!$D$2:$D$241,11,'Périodes'!$E$2:$E$241,"FINALIZED")</f>
        <v>0</v>
      </c>
      <c r="R9" s="1">
        <f>SUMIFS('Périodes'!$K$2:$K$241,'Périodes'!$A$2:$A$241,A9,'Périodes'!$C$2:$C$241,2026,'Périodes'!$D$2:$D$241,12,'Périodes'!$E$2:$E$241,"FINALIZED")</f>
        <v>0</v>
      </c>
      <c r="S9" s="1">
        <f>'Détails'!M9</f>
        <v>2040000</v>
      </c>
      <c r="T9" s="1">
        <f>'Détails'!N9</f>
        <v>255000</v>
      </c>
      <c r="U9" s="3">
        <f>'Détails'!Q9</f>
        <v>21</v>
      </c>
      <c r="V9" s="3">
        <f>'Détails'!V9</f>
        <v>21</v>
      </c>
      <c r="W9" s="1">
        <f>'Détails'!W9</f>
        <v>9808</v>
      </c>
      <c r="X9" s="1">
        <f>'Détails'!X9</f>
        <v>205962</v>
      </c>
      <c r="Y9" s="1">
        <f>'Détails'!Y9</f>
        <v>204000</v>
      </c>
      <c r="Z9" t="str">
        <f>'Détails'!Z9</f>
        <v>SALARY_MAINTENANCE</v>
      </c>
      <c r="AA9" s="1">
        <f>'Détails'!AA9</f>
        <v>205962</v>
      </c>
      <c r="AB9" s="1">
        <f>'Détails'!AC9</f>
        <v>382500</v>
      </c>
      <c r="AC9" s="1">
        <f>'Détails'!AE9</f>
        <v>446250</v>
      </c>
      <c r="AD9" s="1">
        <f>'Détails'!AG9</f>
        <v>1020000</v>
      </c>
      <c r="AE9" s="1">
        <f>'Détails'!AH9</f>
        <v>1848750</v>
      </c>
      <c r="AF9" s="1">
        <f>AA9+AE9</f>
        <v>2054712</v>
      </c>
      <c r="AG9" t="str">
        <f>'Détails'!AI9</f>
        <v>PASS</v>
      </c>
      <c r="AH9" t="str">
        <f>'Détails'!AJ9</f>
        <v/>
      </c>
    </row>
    <row r="10">
      <c r="A10" t="str">
        <v>C09</v>
      </c>
      <c r="B10" t="str">
        <v>A</v>
      </c>
      <c r="C10" t="str">
        <f>'Détails'!D10</f>
        <v>VAL26-A-C09</v>
      </c>
      <c r="D10" t="str">
        <f>'Détails'!E10</f>
        <v>2001-08-03</v>
      </c>
      <c r="E10">
        <f>'Détails'!G10</f>
        <v>300</v>
      </c>
      <c r="F10">
        <f>'Détails'!I10</f>
        <v>8</v>
      </c>
      <c r="G10" s="1">
        <f>SUMIFS('Périodes'!$K$2:$K$241,'Périodes'!$A$2:$A$241,A10,'Périodes'!$C$2:$C$241,2026,'Périodes'!$D$2:$D$241,1,'Périodes'!$E$2:$E$241,"FINALIZED")</f>
        <v>260000</v>
      </c>
      <c r="H10" s="1">
        <f>SUMIFS('Périodes'!$K$2:$K$241,'Périodes'!$A$2:$A$241,A10,'Périodes'!$C$2:$C$241,2026,'Périodes'!$D$2:$D$241,2,'Périodes'!$E$2:$E$241,"FINALIZED")</f>
        <v>260000</v>
      </c>
      <c r="I10" s="1">
        <f>SUMIFS('Périodes'!$K$2:$K$241,'Périodes'!$A$2:$A$241,A10,'Périodes'!$C$2:$C$241,2026,'Périodes'!$D$2:$D$241,3,'Périodes'!$E$2:$E$241,"FINALIZED")</f>
        <v>260000</v>
      </c>
      <c r="J10" s="1">
        <f>SUMIFS('Périodes'!$K$2:$K$241,'Périodes'!$A$2:$A$241,A10,'Périodes'!$C$2:$C$241,2026,'Périodes'!$D$2:$D$241,4,'Périodes'!$E$2:$E$241,"FINALIZED")</f>
        <v>260000</v>
      </c>
      <c r="K10" s="1">
        <f>SUMIFS('Périodes'!$K$2:$K$241,'Périodes'!$A$2:$A$241,A10,'Périodes'!$C$2:$C$241,2026,'Périodes'!$D$2:$D$241,5,'Périodes'!$E$2:$E$241,"FINALIZED")</f>
        <v>260000</v>
      </c>
      <c r="L10" s="1">
        <f>SUMIFS('Périodes'!$K$2:$K$241,'Périodes'!$A$2:$A$241,A10,'Périodes'!$C$2:$C$241,2026,'Périodes'!$D$2:$D$241,6,'Périodes'!$E$2:$E$241,"FINALIZED")</f>
        <v>260000</v>
      </c>
      <c r="M10" s="1">
        <f>SUMIFS('Périodes'!$K$2:$K$241,'Périodes'!$A$2:$A$241,A10,'Périodes'!$C$2:$C$241,2026,'Périodes'!$D$2:$D$241,7,'Périodes'!$E$2:$E$241,"FINALIZED")</f>
        <v>260000</v>
      </c>
      <c r="N10" s="1">
        <f>SUMIFS('Périodes'!$K$2:$K$241,'Périodes'!$A$2:$A$241,A10,'Périodes'!$C$2:$C$241,2026,'Périodes'!$D$2:$D$241,8,'Périodes'!$E$2:$E$241,"FINALIZED")</f>
        <v>260000</v>
      </c>
      <c r="O10" s="1">
        <f>SUMIFS('Périodes'!$K$2:$K$241,'Périodes'!$A$2:$A$241,A10,'Périodes'!$C$2:$C$241,2026,'Périodes'!$D$2:$D$241,9,'Périodes'!$E$2:$E$241,"FINALIZED")</f>
        <v>0</v>
      </c>
      <c r="P10" s="1">
        <f>SUMIFS('Périodes'!$K$2:$K$241,'Périodes'!$A$2:$A$241,A10,'Périodes'!$C$2:$C$241,2026,'Périodes'!$D$2:$D$241,10,'Périodes'!$E$2:$E$241,"FINALIZED")</f>
        <v>0</v>
      </c>
      <c r="Q10" s="1">
        <f>SUMIFS('Périodes'!$K$2:$K$241,'Périodes'!$A$2:$A$241,A10,'Périodes'!$C$2:$C$241,2026,'Périodes'!$D$2:$D$241,11,'Périodes'!$E$2:$E$241,"FINALIZED")</f>
        <v>0</v>
      </c>
      <c r="R10" s="1">
        <f>SUMIFS('Périodes'!$K$2:$K$241,'Périodes'!$A$2:$A$241,A10,'Périodes'!$C$2:$C$241,2026,'Périodes'!$D$2:$D$241,12,'Périodes'!$E$2:$E$241,"FINALIZED")</f>
        <v>0</v>
      </c>
      <c r="S10" s="1">
        <f>'Détails'!M10</f>
        <v>2080000</v>
      </c>
      <c r="T10" s="1">
        <f>'Détails'!N10</f>
        <v>260000</v>
      </c>
      <c r="U10" s="3">
        <f>'Détails'!Q10</f>
        <v>23</v>
      </c>
      <c r="V10" s="3">
        <f>'Détails'!V10</f>
        <v>23</v>
      </c>
      <c r="W10" s="1">
        <f>'Détails'!W10</f>
        <v>10000</v>
      </c>
      <c r="X10" s="1">
        <f>'Détails'!X10</f>
        <v>230000</v>
      </c>
      <c r="Y10" s="1">
        <f>'Détails'!Y10</f>
        <v>208000</v>
      </c>
      <c r="Z10" t="str">
        <f>'Détails'!Z10</f>
        <v>SALARY_MAINTENANCE</v>
      </c>
      <c r="AA10" s="1">
        <f>'Détails'!AA10</f>
        <v>230000</v>
      </c>
      <c r="AB10" s="1">
        <f>'Détails'!AC10</f>
        <v>390000</v>
      </c>
      <c r="AC10" s="1">
        <f>'Détails'!AE10</f>
        <v>455000</v>
      </c>
      <c r="AD10" s="1">
        <f>'Détails'!AG10</f>
        <v>1560000</v>
      </c>
      <c r="AE10" s="1">
        <f>'Détails'!AH10</f>
        <v>2405000</v>
      </c>
      <c r="AF10" s="1">
        <f>AA10+AE10</f>
        <v>2635000</v>
      </c>
      <c r="AG10" t="str">
        <f>'Détails'!AI10</f>
        <v>PASS</v>
      </c>
      <c r="AH10" t="str">
        <f>'Détails'!AJ10</f>
        <v/>
      </c>
    </row>
    <row r="11">
      <c r="A11" t="str">
        <v>C10</v>
      </c>
      <c r="B11" t="str">
        <v>A</v>
      </c>
      <c r="C11" t="str">
        <f>'Détails'!D11</f>
        <v>VAL26-A-C10</v>
      </c>
      <c r="D11" t="str">
        <f>'Détails'!E11</f>
        <v>1996-08-03</v>
      </c>
      <c r="E11">
        <f>'Détails'!G11</f>
        <v>360</v>
      </c>
      <c r="F11">
        <f>'Détails'!I11</f>
        <v>8</v>
      </c>
      <c r="G11" s="1">
        <f>SUMIFS('Périodes'!$K$2:$K$241,'Périodes'!$A$2:$A$241,A11,'Périodes'!$C$2:$C$241,2026,'Périodes'!$D$2:$D$241,1,'Périodes'!$E$2:$E$241,"FINALIZED")</f>
        <v>265000</v>
      </c>
      <c r="H11" s="1">
        <f>SUMIFS('Périodes'!$K$2:$K$241,'Périodes'!$A$2:$A$241,A11,'Périodes'!$C$2:$C$241,2026,'Périodes'!$D$2:$D$241,2,'Périodes'!$E$2:$E$241,"FINALIZED")</f>
        <v>265000</v>
      </c>
      <c r="I11" s="1">
        <f>SUMIFS('Périodes'!$K$2:$K$241,'Périodes'!$A$2:$A$241,A11,'Périodes'!$C$2:$C$241,2026,'Périodes'!$D$2:$D$241,3,'Périodes'!$E$2:$E$241,"FINALIZED")</f>
        <v>265000</v>
      </c>
      <c r="J11" s="1">
        <f>SUMIFS('Périodes'!$K$2:$K$241,'Périodes'!$A$2:$A$241,A11,'Périodes'!$C$2:$C$241,2026,'Périodes'!$D$2:$D$241,4,'Périodes'!$E$2:$E$241,"FINALIZED")</f>
        <v>265000</v>
      </c>
      <c r="K11" s="1">
        <f>SUMIFS('Périodes'!$K$2:$K$241,'Périodes'!$A$2:$A$241,A11,'Périodes'!$C$2:$C$241,2026,'Périodes'!$D$2:$D$241,5,'Périodes'!$E$2:$E$241,"FINALIZED")</f>
        <v>265000</v>
      </c>
      <c r="L11" s="1">
        <f>SUMIFS('Périodes'!$K$2:$K$241,'Périodes'!$A$2:$A$241,A11,'Périodes'!$C$2:$C$241,2026,'Périodes'!$D$2:$D$241,6,'Périodes'!$E$2:$E$241,"FINALIZED")</f>
        <v>265000</v>
      </c>
      <c r="M11" s="1">
        <f>SUMIFS('Périodes'!$K$2:$K$241,'Périodes'!$A$2:$A$241,A11,'Périodes'!$C$2:$C$241,2026,'Périodes'!$D$2:$D$241,7,'Périodes'!$E$2:$E$241,"FINALIZED")</f>
        <v>265000</v>
      </c>
      <c r="N11" s="1">
        <f>SUMIFS('Périodes'!$K$2:$K$241,'Périodes'!$A$2:$A$241,A11,'Périodes'!$C$2:$C$241,2026,'Périodes'!$D$2:$D$241,8,'Périodes'!$E$2:$E$241,"FINALIZED")</f>
        <v>265000</v>
      </c>
      <c r="O11" s="1">
        <f>SUMIFS('Périodes'!$K$2:$K$241,'Périodes'!$A$2:$A$241,A11,'Périodes'!$C$2:$C$241,2026,'Périodes'!$D$2:$D$241,9,'Périodes'!$E$2:$E$241,"FINALIZED")</f>
        <v>0</v>
      </c>
      <c r="P11" s="1">
        <f>SUMIFS('Périodes'!$K$2:$K$241,'Périodes'!$A$2:$A$241,A11,'Périodes'!$C$2:$C$241,2026,'Périodes'!$D$2:$D$241,10,'Périodes'!$E$2:$E$241,"FINALIZED")</f>
        <v>0</v>
      </c>
      <c r="Q11" s="1">
        <f>SUMIFS('Périodes'!$K$2:$K$241,'Périodes'!$A$2:$A$241,A11,'Périodes'!$C$2:$C$241,2026,'Périodes'!$D$2:$D$241,11,'Périodes'!$E$2:$E$241,"FINALIZED")</f>
        <v>0</v>
      </c>
      <c r="R11" s="1">
        <f>SUMIFS('Périodes'!$K$2:$K$241,'Périodes'!$A$2:$A$241,A11,'Périodes'!$C$2:$C$241,2026,'Périodes'!$D$2:$D$241,12,'Périodes'!$E$2:$E$241,"FINALIZED")</f>
        <v>0</v>
      </c>
      <c r="S11" s="1">
        <f>'Détails'!M11</f>
        <v>2120000</v>
      </c>
      <c r="T11" s="1">
        <f>'Détails'!N11</f>
        <v>265000</v>
      </c>
      <c r="U11" s="3">
        <f>'Détails'!Q11</f>
        <v>24</v>
      </c>
      <c r="V11" s="3">
        <f>'Détails'!V11</f>
        <v>24</v>
      </c>
      <c r="W11" s="1">
        <f>'Détails'!W11</f>
        <v>10192</v>
      </c>
      <c r="X11" s="1">
        <f>'Détails'!X11</f>
        <v>244615</v>
      </c>
      <c r="Y11" s="1">
        <f>'Détails'!Y11</f>
        <v>212000</v>
      </c>
      <c r="Z11" t="str">
        <f>'Détails'!Z11</f>
        <v>SALARY_MAINTENANCE</v>
      </c>
      <c r="AA11" s="1">
        <f>'Détails'!AA11</f>
        <v>244615</v>
      </c>
      <c r="AB11" s="1">
        <f>'Détails'!AC11</f>
        <v>397500</v>
      </c>
      <c r="AC11" s="1">
        <f>'Détails'!AE11</f>
        <v>463750</v>
      </c>
      <c r="AD11" s="1">
        <f>'Détails'!AG11</f>
        <v>2120000</v>
      </c>
      <c r="AE11" s="1">
        <f>'Détails'!AH11</f>
        <v>2981250</v>
      </c>
      <c r="AF11" s="1">
        <f>AA11+AE11</f>
        <v>3225865</v>
      </c>
      <c r="AG11" t="str">
        <f>'Détails'!AI11</f>
        <v>PASS</v>
      </c>
      <c r="AH11" t="str">
        <f>'Détails'!AJ11</f>
        <v/>
      </c>
    </row>
    <row r="12">
      <c r="A12" t="str">
        <v>C11</v>
      </c>
      <c r="B12" t="str">
        <v>A</v>
      </c>
      <c r="C12" t="str">
        <f>'Détails'!D12</f>
        <v>VAL26-A-C11</v>
      </c>
      <c r="D12" t="str">
        <f>'Détails'!E12</f>
        <v>2022-01-01</v>
      </c>
      <c r="E12">
        <f>'Détails'!G12</f>
        <v>55</v>
      </c>
      <c r="F12">
        <f>'Détails'!I12</f>
        <v>8</v>
      </c>
      <c r="G12" s="1">
        <f>SUMIFS('Périodes'!$K$2:$K$241,'Périodes'!$A$2:$A$241,A12,'Périodes'!$C$2:$C$241,2026,'Périodes'!$D$2:$D$241,1,'Périodes'!$E$2:$E$241,"FINALIZED")</f>
        <v>280000</v>
      </c>
      <c r="H12" s="1">
        <f>SUMIFS('Périodes'!$K$2:$K$241,'Périodes'!$A$2:$A$241,A12,'Périodes'!$C$2:$C$241,2026,'Périodes'!$D$2:$D$241,2,'Périodes'!$E$2:$E$241,"FINALIZED")</f>
        <v>280000</v>
      </c>
      <c r="I12" s="1">
        <f>SUMIFS('Périodes'!$K$2:$K$241,'Périodes'!$A$2:$A$241,A12,'Périodes'!$C$2:$C$241,2026,'Périodes'!$D$2:$D$241,3,'Périodes'!$E$2:$E$241,"FINALIZED")</f>
        <v>280000</v>
      </c>
      <c r="J12" s="1">
        <f>SUMIFS('Périodes'!$K$2:$K$241,'Périodes'!$A$2:$A$241,A12,'Périodes'!$C$2:$C$241,2026,'Périodes'!$D$2:$D$241,4,'Périodes'!$E$2:$E$241,"FINALIZED")</f>
        <v>280000</v>
      </c>
      <c r="K12" s="1">
        <f>SUMIFS('Périodes'!$K$2:$K$241,'Périodes'!$A$2:$A$241,A12,'Périodes'!$C$2:$C$241,2026,'Périodes'!$D$2:$D$241,5,'Périodes'!$E$2:$E$241,"FINALIZED")</f>
        <v>280000</v>
      </c>
      <c r="L12" s="1">
        <f>SUMIFS('Périodes'!$K$2:$K$241,'Périodes'!$A$2:$A$241,A12,'Périodes'!$C$2:$C$241,2026,'Périodes'!$D$2:$D$241,6,'Périodes'!$E$2:$E$241,"FINALIZED")</f>
        <v>280000</v>
      </c>
      <c r="M12" s="1">
        <f>SUMIFS('Périodes'!$K$2:$K$241,'Périodes'!$A$2:$A$241,A12,'Périodes'!$C$2:$C$241,2026,'Périodes'!$D$2:$D$241,7,'Périodes'!$E$2:$E$241,"FINALIZED")</f>
        <v>280000</v>
      </c>
      <c r="N12" s="1">
        <f>SUMIFS('Périodes'!$K$2:$K$241,'Périodes'!$A$2:$A$241,A12,'Périodes'!$C$2:$C$241,2026,'Périodes'!$D$2:$D$241,8,'Périodes'!$E$2:$E$241,"FINALIZED")</f>
        <v>280000</v>
      </c>
      <c r="O12" s="1">
        <f>SUMIFS('Périodes'!$K$2:$K$241,'Périodes'!$A$2:$A$241,A12,'Périodes'!$C$2:$C$241,2026,'Périodes'!$D$2:$D$241,9,'Périodes'!$E$2:$E$241,"FINALIZED")</f>
        <v>0</v>
      </c>
      <c r="P12" s="1">
        <f>SUMIFS('Périodes'!$K$2:$K$241,'Périodes'!$A$2:$A$241,A12,'Périodes'!$C$2:$C$241,2026,'Périodes'!$D$2:$D$241,10,'Périodes'!$E$2:$E$241,"FINALIZED")</f>
        <v>0</v>
      </c>
      <c r="Q12" s="1">
        <f>SUMIFS('Périodes'!$K$2:$K$241,'Périodes'!$A$2:$A$241,A12,'Périodes'!$C$2:$C$241,2026,'Périodes'!$D$2:$D$241,11,'Périodes'!$E$2:$E$241,"FINALIZED")</f>
        <v>0</v>
      </c>
      <c r="R12" s="1">
        <f>SUMIFS('Périodes'!$K$2:$K$241,'Périodes'!$A$2:$A$241,A12,'Périodes'!$C$2:$C$241,2026,'Périodes'!$D$2:$D$241,12,'Périodes'!$E$2:$E$241,"FINALIZED")</f>
        <v>0</v>
      </c>
      <c r="S12" s="1">
        <f>'Détails'!M12</f>
        <v>2240000</v>
      </c>
      <c r="T12" s="1">
        <f>'Détails'!N12</f>
        <v>280000</v>
      </c>
      <c r="U12" s="3">
        <f>'Détails'!Q12</f>
        <v>16</v>
      </c>
      <c r="V12" s="3">
        <f>'Détails'!V12</f>
        <v>21</v>
      </c>
      <c r="W12" s="1">
        <f>'Détails'!W12</f>
        <v>10769</v>
      </c>
      <c r="X12" s="1">
        <f>'Détails'!X12</f>
        <v>226154</v>
      </c>
      <c r="Y12" s="1">
        <f>'Détails'!Y12</f>
        <v>294000</v>
      </c>
      <c r="Z12" t="str">
        <f>'Détails'!Z12</f>
        <v>TENTH</v>
      </c>
      <c r="AA12" s="1">
        <f>'Détails'!AA12</f>
        <v>294000</v>
      </c>
      <c r="AB12" s="1">
        <f>'Détails'!AC12</f>
        <v>385000</v>
      </c>
      <c r="AC12" s="1">
        <f>'Détails'!AE12</f>
        <v>0</v>
      </c>
      <c r="AD12" s="1">
        <f>'Détails'!AG12</f>
        <v>0</v>
      </c>
      <c r="AE12" s="1">
        <f>'Détails'!AH12</f>
        <v>385000</v>
      </c>
      <c r="AF12" s="1">
        <f>AA12+AE12</f>
        <v>679000</v>
      </c>
      <c r="AG12" t="str">
        <f>'Détails'!AI12</f>
        <v>PASS</v>
      </c>
      <c r="AH12" t="str">
        <f>'Détails'!AJ12</f>
        <v/>
      </c>
    </row>
    <row r="13">
      <c r="A13" t="str">
        <v>C12</v>
      </c>
      <c r="B13" t="str">
        <v>A</v>
      </c>
      <c r="C13" t="str">
        <f>'Détails'!D13</f>
        <v>VAL26-A-C12</v>
      </c>
      <c r="D13" t="str">
        <f>'Détails'!E13</f>
        <v>2021-01-01</v>
      </c>
      <c r="E13">
        <f>'Détails'!G13</f>
        <v>67</v>
      </c>
      <c r="F13">
        <f>'Détails'!I13</f>
        <v>8</v>
      </c>
      <c r="G13" s="1">
        <f>SUMIFS('Périodes'!$K$2:$K$241,'Périodes'!$A$2:$A$241,A13,'Périodes'!$C$2:$C$241,2026,'Périodes'!$D$2:$D$241,1,'Périodes'!$E$2:$E$241,"FINALIZED")</f>
        <v>285000</v>
      </c>
      <c r="H13" s="1">
        <f>SUMIFS('Périodes'!$K$2:$K$241,'Périodes'!$A$2:$A$241,A13,'Périodes'!$C$2:$C$241,2026,'Périodes'!$D$2:$D$241,2,'Périodes'!$E$2:$E$241,"FINALIZED")</f>
        <v>285000</v>
      </c>
      <c r="I13" s="1">
        <f>SUMIFS('Périodes'!$K$2:$K$241,'Périodes'!$A$2:$A$241,A13,'Périodes'!$C$2:$C$241,2026,'Périodes'!$D$2:$D$241,3,'Périodes'!$E$2:$E$241,"FINALIZED")</f>
        <v>285000</v>
      </c>
      <c r="J13" s="1">
        <f>SUMIFS('Périodes'!$K$2:$K$241,'Périodes'!$A$2:$A$241,A13,'Périodes'!$C$2:$C$241,2026,'Périodes'!$D$2:$D$241,4,'Périodes'!$E$2:$E$241,"FINALIZED")</f>
        <v>285000</v>
      </c>
      <c r="K13" s="1">
        <f>SUMIFS('Périodes'!$K$2:$K$241,'Périodes'!$A$2:$A$241,A13,'Périodes'!$C$2:$C$241,2026,'Périodes'!$D$2:$D$241,5,'Périodes'!$E$2:$E$241,"FINALIZED")</f>
        <v>285000</v>
      </c>
      <c r="L13" s="1">
        <f>SUMIFS('Périodes'!$K$2:$K$241,'Périodes'!$A$2:$A$241,A13,'Périodes'!$C$2:$C$241,2026,'Périodes'!$D$2:$D$241,6,'Périodes'!$E$2:$E$241,"FINALIZED")</f>
        <v>285000</v>
      </c>
      <c r="M13" s="1">
        <f>SUMIFS('Périodes'!$K$2:$K$241,'Périodes'!$A$2:$A$241,A13,'Périodes'!$C$2:$C$241,2026,'Périodes'!$D$2:$D$241,7,'Périodes'!$E$2:$E$241,"FINALIZED")</f>
        <v>285000</v>
      </c>
      <c r="N13" s="1">
        <f>SUMIFS('Périodes'!$K$2:$K$241,'Périodes'!$A$2:$A$241,A13,'Périodes'!$C$2:$C$241,2026,'Périodes'!$D$2:$D$241,8,'Périodes'!$E$2:$E$241,"FINALIZED")</f>
        <v>285000</v>
      </c>
      <c r="O13" s="1">
        <f>SUMIFS('Périodes'!$K$2:$K$241,'Périodes'!$A$2:$A$241,A13,'Périodes'!$C$2:$C$241,2026,'Périodes'!$D$2:$D$241,9,'Périodes'!$E$2:$E$241,"FINALIZED")</f>
        <v>0</v>
      </c>
      <c r="P13" s="1">
        <f>SUMIFS('Périodes'!$K$2:$K$241,'Périodes'!$A$2:$A$241,A13,'Périodes'!$C$2:$C$241,2026,'Périodes'!$D$2:$D$241,10,'Périodes'!$E$2:$E$241,"FINALIZED")</f>
        <v>0</v>
      </c>
      <c r="Q13" s="1">
        <f>SUMIFS('Périodes'!$K$2:$K$241,'Périodes'!$A$2:$A$241,A13,'Périodes'!$C$2:$C$241,2026,'Périodes'!$D$2:$D$241,11,'Périodes'!$E$2:$E$241,"FINALIZED")</f>
        <v>0</v>
      </c>
      <c r="R13" s="1">
        <f>SUMIFS('Périodes'!$K$2:$K$241,'Périodes'!$A$2:$A$241,A13,'Périodes'!$C$2:$C$241,2026,'Périodes'!$D$2:$D$241,12,'Périodes'!$E$2:$E$241,"FINALIZED")</f>
        <v>0</v>
      </c>
      <c r="S13" s="1">
        <f>'Détails'!M13</f>
        <v>2280000</v>
      </c>
      <c r="T13" s="1">
        <f>'Détails'!N13</f>
        <v>285000</v>
      </c>
      <c r="U13" s="3">
        <f>'Détails'!Q13</f>
        <v>17</v>
      </c>
      <c r="V13" s="3">
        <f>'Détails'!V13</f>
        <v>23</v>
      </c>
      <c r="W13" s="1">
        <f>'Détails'!W13</f>
        <v>10962</v>
      </c>
      <c r="X13" s="1">
        <f>'Détails'!X13</f>
        <v>252115</v>
      </c>
      <c r="Y13" s="1">
        <f>'Détails'!Y13</f>
        <v>308471</v>
      </c>
      <c r="Z13" t="str">
        <f>'Détails'!Z13</f>
        <v>TENTH</v>
      </c>
      <c r="AA13" s="1">
        <f>'Détails'!AA13</f>
        <v>308471</v>
      </c>
      <c r="AB13" s="1">
        <f>'Détails'!AC13</f>
        <v>427500</v>
      </c>
      <c r="AC13" s="1">
        <f>'Détails'!AE13</f>
        <v>58187</v>
      </c>
      <c r="AD13" s="1">
        <f>'Détails'!AG13</f>
        <v>0</v>
      </c>
      <c r="AE13" s="1">
        <f>'Détails'!AH13</f>
        <v>485687</v>
      </c>
      <c r="AF13" s="1">
        <f>AA13+AE13</f>
        <v>794158</v>
      </c>
      <c r="AG13" t="str">
        <f>'Détails'!AI13</f>
        <v>PASS</v>
      </c>
      <c r="AH13" t="str">
        <f>'Détails'!AJ13</f>
        <v/>
      </c>
    </row>
    <row r="14">
      <c r="A14" t="str">
        <v>C13</v>
      </c>
      <c r="B14" t="str">
        <v>A</v>
      </c>
      <c r="C14" t="str">
        <f>'Détails'!D14</f>
        <v>VAL26-A-C13</v>
      </c>
      <c r="D14" t="str">
        <f>'Détails'!E14</f>
        <v>2019-01-01</v>
      </c>
      <c r="E14">
        <f>'Détails'!G14</f>
        <v>91</v>
      </c>
      <c r="F14">
        <f>'Détails'!I14</f>
        <v>4</v>
      </c>
      <c r="G14" s="1">
        <f>SUMIFS('Périodes'!$K$2:$K$241,'Périodes'!$A$2:$A$241,A14,'Périodes'!$C$2:$C$241,2026,'Périodes'!$D$2:$D$241,1,'Périodes'!$E$2:$E$241,"FINALIZED")</f>
        <v>0</v>
      </c>
      <c r="H14" s="1">
        <f>SUMIFS('Périodes'!$K$2:$K$241,'Périodes'!$A$2:$A$241,A14,'Périodes'!$C$2:$C$241,2026,'Périodes'!$D$2:$D$241,2,'Périodes'!$E$2:$E$241,"FINALIZED")</f>
        <v>0</v>
      </c>
      <c r="I14" s="1">
        <f>SUMIFS('Périodes'!$K$2:$K$241,'Périodes'!$A$2:$A$241,A14,'Périodes'!$C$2:$C$241,2026,'Périodes'!$D$2:$D$241,3,'Périodes'!$E$2:$E$241,"FINALIZED")</f>
        <v>0</v>
      </c>
      <c r="J14" s="1">
        <f>SUMIFS('Périodes'!$K$2:$K$241,'Périodes'!$A$2:$A$241,A14,'Périodes'!$C$2:$C$241,2026,'Périodes'!$D$2:$D$241,4,'Périodes'!$E$2:$E$241,"FINALIZED")</f>
        <v>0</v>
      </c>
      <c r="K14" s="1">
        <f>SUMIFS('Périodes'!$K$2:$K$241,'Périodes'!$A$2:$A$241,A14,'Périodes'!$C$2:$C$241,2026,'Périodes'!$D$2:$D$241,5,'Périodes'!$E$2:$E$241,"FINALIZED")</f>
        <v>300000</v>
      </c>
      <c r="L14" s="1">
        <f>SUMIFS('Périodes'!$K$2:$K$241,'Périodes'!$A$2:$A$241,A14,'Périodes'!$C$2:$C$241,2026,'Périodes'!$D$2:$D$241,6,'Périodes'!$E$2:$E$241,"FINALIZED")</f>
        <v>300000</v>
      </c>
      <c r="M14" s="1">
        <f>SUMIFS('Périodes'!$K$2:$K$241,'Périodes'!$A$2:$A$241,A14,'Périodes'!$C$2:$C$241,2026,'Périodes'!$D$2:$D$241,7,'Périodes'!$E$2:$E$241,"FINALIZED")</f>
        <v>300000</v>
      </c>
      <c r="N14" s="1">
        <f>SUMIFS('Périodes'!$K$2:$K$241,'Périodes'!$A$2:$A$241,A14,'Périodes'!$C$2:$C$241,2026,'Périodes'!$D$2:$D$241,8,'Périodes'!$E$2:$E$241,"FINALIZED")</f>
        <v>300000</v>
      </c>
      <c r="O14" s="1">
        <f>SUMIFS('Périodes'!$K$2:$K$241,'Périodes'!$A$2:$A$241,A14,'Périodes'!$C$2:$C$241,2026,'Périodes'!$D$2:$D$241,9,'Périodes'!$E$2:$E$241,"FINALIZED")</f>
        <v>0</v>
      </c>
      <c r="P14" s="1">
        <f>SUMIFS('Périodes'!$K$2:$K$241,'Périodes'!$A$2:$A$241,A14,'Périodes'!$C$2:$C$241,2026,'Périodes'!$D$2:$D$241,10,'Périodes'!$E$2:$E$241,"FINALIZED")</f>
        <v>0</v>
      </c>
      <c r="Q14" s="1">
        <f>SUMIFS('Périodes'!$K$2:$K$241,'Périodes'!$A$2:$A$241,A14,'Périodes'!$C$2:$C$241,2026,'Périodes'!$D$2:$D$241,11,'Périodes'!$E$2:$E$241,"FINALIZED")</f>
        <v>0</v>
      </c>
      <c r="R14" s="1">
        <f>SUMIFS('Périodes'!$K$2:$K$241,'Périodes'!$A$2:$A$241,A14,'Périodes'!$C$2:$C$241,2026,'Périodes'!$D$2:$D$241,12,'Périodes'!$E$2:$E$241,"FINALIZED")</f>
        <v>0</v>
      </c>
      <c r="S14" s="1">
        <f>'Détails'!M14</f>
        <v>1200000</v>
      </c>
      <c r="T14" s="1">
        <f>'Détails'!N14</f>
        <v>300000</v>
      </c>
      <c r="U14" s="3">
        <f>'Détails'!Q14</f>
        <v>17</v>
      </c>
      <c r="V14" s="3">
        <f>'Détails'!V14</f>
        <v>17</v>
      </c>
      <c r="W14" s="1">
        <f>'Détails'!W14</f>
        <v>11538</v>
      </c>
      <c r="X14" s="1">
        <f>'Détails'!X14</f>
        <v>196154</v>
      </c>
      <c r="Y14" s="1">
        <f>'Détails'!Y14</f>
        <v>120000</v>
      </c>
      <c r="Z14" t="str">
        <f>'Détails'!Z14</f>
        <v>SALARY_MAINTENANCE</v>
      </c>
      <c r="AA14" s="1">
        <f>'Détails'!AA14</f>
        <v>196154</v>
      </c>
      <c r="AB14" s="1">
        <f>'Détails'!AC14</f>
        <v>450000</v>
      </c>
      <c r="AC14" s="1">
        <f>'Détails'!AE14</f>
        <v>271250</v>
      </c>
      <c r="AD14" s="1">
        <f>'Détails'!AG14</f>
        <v>0</v>
      </c>
      <c r="AE14" s="1">
        <f>'Détails'!AH14</f>
        <v>721250</v>
      </c>
      <c r="AF14" s="1">
        <f>AA14+AE14</f>
        <v>917404</v>
      </c>
      <c r="AG14" t="str">
        <f>'Détails'!AI14</f>
        <v>PASS</v>
      </c>
      <c r="AH14" t="str">
        <f>'Détails'!AJ14</f>
        <v>Historique salarial partiel 4 mois</v>
      </c>
    </row>
    <row r="15">
      <c r="A15" t="str">
        <v>C14</v>
      </c>
      <c r="B15" t="str">
        <v>A</v>
      </c>
      <c r="C15" t="str">
        <f>'Détails'!D15</f>
        <v>VAL26-A-C14</v>
      </c>
      <c r="D15" t="str">
        <f>'Détails'!E15</f>
        <v>2018-01-01</v>
      </c>
      <c r="E15">
        <f>'Détails'!G15</f>
        <v>103</v>
      </c>
      <c r="F15">
        <f>'Détails'!I15</f>
        <v>0</v>
      </c>
      <c r="G15" s="1">
        <f>SUMIFS('Périodes'!$K$2:$K$241,'Périodes'!$A$2:$A$241,A15,'Périodes'!$C$2:$C$241,2026,'Périodes'!$D$2:$D$241,1,'Périodes'!$E$2:$E$241,"FINALIZED")</f>
        <v>0</v>
      </c>
      <c r="H15" s="1">
        <f>SUMIFS('Périodes'!$K$2:$K$241,'Périodes'!$A$2:$A$241,A15,'Périodes'!$C$2:$C$241,2026,'Périodes'!$D$2:$D$241,2,'Périodes'!$E$2:$E$241,"FINALIZED")</f>
        <v>0</v>
      </c>
      <c r="I15" s="1">
        <f>SUMIFS('Périodes'!$K$2:$K$241,'Périodes'!$A$2:$A$241,A15,'Périodes'!$C$2:$C$241,2026,'Périodes'!$D$2:$D$241,3,'Périodes'!$E$2:$E$241,"FINALIZED")</f>
        <v>0</v>
      </c>
      <c r="J15" s="1">
        <f>SUMIFS('Périodes'!$K$2:$K$241,'Périodes'!$A$2:$A$241,A15,'Périodes'!$C$2:$C$241,2026,'Périodes'!$D$2:$D$241,4,'Périodes'!$E$2:$E$241,"FINALIZED")</f>
        <v>0</v>
      </c>
      <c r="K15" s="1">
        <f>SUMIFS('Périodes'!$K$2:$K$241,'Périodes'!$A$2:$A$241,A15,'Périodes'!$C$2:$C$241,2026,'Périodes'!$D$2:$D$241,5,'Périodes'!$E$2:$E$241,"FINALIZED")</f>
        <v>0</v>
      </c>
      <c r="L15" s="1">
        <f>SUMIFS('Périodes'!$K$2:$K$241,'Périodes'!$A$2:$A$241,A15,'Périodes'!$C$2:$C$241,2026,'Périodes'!$D$2:$D$241,6,'Périodes'!$E$2:$E$241,"FINALIZED")</f>
        <v>0</v>
      </c>
      <c r="M15" s="1">
        <f>SUMIFS('Périodes'!$K$2:$K$241,'Périodes'!$A$2:$A$241,A15,'Périodes'!$C$2:$C$241,2026,'Périodes'!$D$2:$D$241,7,'Périodes'!$E$2:$E$241,"FINALIZED")</f>
        <v>0</v>
      </c>
      <c r="N15" s="1">
        <f>SUMIFS('Périodes'!$K$2:$K$241,'Périodes'!$A$2:$A$241,A15,'Périodes'!$C$2:$C$241,2026,'Périodes'!$D$2:$D$241,8,'Périodes'!$E$2:$E$241,"FINALIZED")</f>
        <v>0</v>
      </c>
      <c r="O15" s="1">
        <f>SUMIFS('Périodes'!$K$2:$K$241,'Périodes'!$A$2:$A$241,A15,'Périodes'!$C$2:$C$241,2026,'Périodes'!$D$2:$D$241,9,'Périodes'!$E$2:$E$241,"FINALIZED")</f>
        <v>0</v>
      </c>
      <c r="P15" s="1">
        <f>SUMIFS('Périodes'!$K$2:$K$241,'Périodes'!$A$2:$A$241,A15,'Périodes'!$C$2:$C$241,2026,'Périodes'!$D$2:$D$241,10,'Périodes'!$E$2:$E$241,"FINALIZED")</f>
        <v>0</v>
      </c>
      <c r="Q15" s="1">
        <f>SUMIFS('Périodes'!$K$2:$K$241,'Périodes'!$A$2:$A$241,A15,'Périodes'!$C$2:$C$241,2026,'Périodes'!$D$2:$D$241,11,'Périodes'!$E$2:$E$241,"FINALIZED")</f>
        <v>0</v>
      </c>
      <c r="R15" s="1">
        <f>SUMIFS('Périodes'!$K$2:$K$241,'Périodes'!$A$2:$A$241,A15,'Périodes'!$C$2:$C$241,2026,'Périodes'!$D$2:$D$241,12,'Périodes'!$E$2:$E$241,"FINALIZED")</f>
        <v>0</v>
      </c>
      <c r="S15" s="1">
        <f>'Détails'!M15</f>
        <v>3660000</v>
      </c>
      <c r="T15" s="1">
        <f>'Détails'!N15</f>
        <v>305000</v>
      </c>
      <c r="U15" s="3">
        <f>'Détails'!Q15</f>
        <v>17</v>
      </c>
      <c r="V15" s="3">
        <f>'Détails'!V15</f>
        <v>17</v>
      </c>
      <c r="W15" s="1">
        <f>'Détails'!W15</f>
        <v>11731</v>
      </c>
      <c r="X15" s="1">
        <f>'Détails'!X15</f>
        <v>199423</v>
      </c>
      <c r="Y15" s="1">
        <f>'Détails'!Y15</f>
        <v>366000</v>
      </c>
      <c r="Z15" t="str">
        <f>'Détails'!Z15</f>
        <v>TENTH</v>
      </c>
      <c r="AA15" s="1">
        <f>'Détails'!AA15</f>
        <v>366000</v>
      </c>
      <c r="AB15" s="1">
        <f>'Détails'!AC15</f>
        <v>457500</v>
      </c>
      <c r="AC15" s="1">
        <f>'Détails'!AE15</f>
        <v>382521</v>
      </c>
      <c r="AD15" s="1">
        <f>'Détails'!AG15</f>
        <v>0</v>
      </c>
      <c r="AE15" s="1">
        <f>'Détails'!AH15</f>
        <v>840021</v>
      </c>
      <c r="AF15" s="1">
        <f>AA15+AE15</f>
        <v>1206021</v>
      </c>
      <c r="AG15" t="str">
        <f>'Détails'!AI15</f>
        <v>PASS</v>
      </c>
      <c r="AH15" t="str">
        <f>'Détails'!AJ15</f>
        <v>Aucune paie finalisée ; fallback contractuel</v>
      </c>
    </row>
    <row r="16">
      <c r="A16" t="str">
        <v>C15</v>
      </c>
      <c r="B16" t="str">
        <v>A</v>
      </c>
      <c r="C16" t="str">
        <f>'Détails'!D16</f>
        <v>VAL26-A-C15</v>
      </c>
      <c r="D16" t="str">
        <f>'Détails'!E16</f>
        <v>2017-01-01</v>
      </c>
      <c r="E16">
        <f>'Détails'!G16</f>
        <v>115</v>
      </c>
      <c r="F16">
        <f>'Détails'!I16</f>
        <v>8</v>
      </c>
      <c r="G16" s="1">
        <f>SUMIFS('Périodes'!$K$2:$K$241,'Périodes'!$A$2:$A$241,A16,'Périodes'!$C$2:$C$241,2026,'Périodes'!$D$2:$D$241,1,'Périodes'!$E$2:$E$241,"FINALIZED")</f>
        <v>310000</v>
      </c>
      <c r="H16" s="1">
        <f>SUMIFS('Périodes'!$K$2:$K$241,'Périodes'!$A$2:$A$241,A16,'Périodes'!$C$2:$C$241,2026,'Périodes'!$D$2:$D$241,2,'Périodes'!$E$2:$E$241,"FINALIZED")</f>
        <v>310000</v>
      </c>
      <c r="I16" s="1">
        <f>SUMIFS('Périodes'!$K$2:$K$241,'Périodes'!$A$2:$A$241,A16,'Périodes'!$C$2:$C$241,2026,'Périodes'!$D$2:$D$241,3,'Périodes'!$E$2:$E$241,"FINALIZED")</f>
        <v>310000</v>
      </c>
      <c r="J16" s="1">
        <f>SUMIFS('Périodes'!$K$2:$K$241,'Périodes'!$A$2:$A$241,A16,'Périodes'!$C$2:$C$241,2026,'Périodes'!$D$2:$D$241,4,'Périodes'!$E$2:$E$241,"FINALIZED")</f>
        <v>310000</v>
      </c>
      <c r="K16" s="1">
        <f>SUMIFS('Périodes'!$K$2:$K$241,'Périodes'!$A$2:$A$241,A16,'Périodes'!$C$2:$C$241,2026,'Périodes'!$D$2:$D$241,5,'Périodes'!$E$2:$E$241,"FINALIZED")</f>
        <v>310000</v>
      </c>
      <c r="L16" s="1">
        <f>SUMIFS('Périodes'!$K$2:$K$241,'Périodes'!$A$2:$A$241,A16,'Périodes'!$C$2:$C$241,2026,'Périodes'!$D$2:$D$241,6,'Périodes'!$E$2:$E$241,"FINALIZED")</f>
        <v>310000</v>
      </c>
      <c r="M16" s="1">
        <f>SUMIFS('Périodes'!$K$2:$K$241,'Périodes'!$A$2:$A$241,A16,'Périodes'!$C$2:$C$241,2026,'Périodes'!$D$2:$D$241,7,'Périodes'!$E$2:$E$241,"FINALIZED")</f>
        <v>310000</v>
      </c>
      <c r="N16" s="1">
        <f>SUMIFS('Périodes'!$K$2:$K$241,'Périodes'!$A$2:$A$241,A16,'Périodes'!$C$2:$C$241,2026,'Périodes'!$D$2:$D$241,8,'Périodes'!$E$2:$E$241,"FINALIZED")</f>
        <v>310000</v>
      </c>
      <c r="O16" s="1">
        <f>SUMIFS('Périodes'!$K$2:$K$241,'Périodes'!$A$2:$A$241,A16,'Périodes'!$C$2:$C$241,2026,'Périodes'!$D$2:$D$241,9,'Périodes'!$E$2:$E$241,"FINALIZED")</f>
        <v>0</v>
      </c>
      <c r="P16" s="1">
        <f>SUMIFS('Périodes'!$K$2:$K$241,'Périodes'!$A$2:$A$241,A16,'Périodes'!$C$2:$C$241,2026,'Périodes'!$D$2:$D$241,10,'Périodes'!$E$2:$E$241,"FINALIZED")</f>
        <v>0</v>
      </c>
      <c r="Q16" s="1">
        <f>SUMIFS('Périodes'!$K$2:$K$241,'Périodes'!$A$2:$A$241,A16,'Périodes'!$C$2:$C$241,2026,'Périodes'!$D$2:$D$241,11,'Périodes'!$E$2:$E$241,"FINALIZED")</f>
        <v>0</v>
      </c>
      <c r="R16" s="1">
        <f>SUMIFS('Périodes'!$K$2:$K$241,'Périodes'!$A$2:$A$241,A16,'Périodes'!$C$2:$C$241,2026,'Périodes'!$D$2:$D$241,12,'Périodes'!$E$2:$E$241,"FINALIZED")</f>
        <v>0</v>
      </c>
      <c r="S16" s="1">
        <f>'Détails'!M16</f>
        <v>2480000</v>
      </c>
      <c r="T16" s="1">
        <f>'Détails'!N16</f>
        <v>310000</v>
      </c>
      <c r="U16" s="3">
        <f>'Détails'!Q16</f>
        <v>17</v>
      </c>
      <c r="V16" s="3">
        <f>'Détails'!V16</f>
        <v>17</v>
      </c>
      <c r="W16" s="1">
        <f>'Détails'!W16</f>
        <v>11923</v>
      </c>
      <c r="X16" s="1">
        <f>'Détails'!X16</f>
        <v>202692</v>
      </c>
      <c r="Y16" s="1">
        <f>'Détails'!Y16</f>
        <v>248000</v>
      </c>
      <c r="Z16" t="str">
        <f>'Détails'!Z16</f>
        <v>TENTH</v>
      </c>
      <c r="AA16" s="1">
        <f>'Détails'!AA16</f>
        <v>248000</v>
      </c>
      <c r="AB16" s="1">
        <f>'Détails'!AC16</f>
        <v>465000</v>
      </c>
      <c r="AC16" s="1">
        <f>'Détails'!AE16</f>
        <v>497292</v>
      </c>
      <c r="AD16" s="1">
        <f>'Détails'!AG16</f>
        <v>0</v>
      </c>
      <c r="AE16" s="1">
        <f>'Détails'!AH16</f>
        <v>962292</v>
      </c>
      <c r="AF16" s="1">
        <f>AA16+AE16</f>
        <v>1210292</v>
      </c>
      <c r="AG16" t="str">
        <f>'Détails'!AI16</f>
        <v>PASS</v>
      </c>
      <c r="AH16" t="str">
        <f>'Détails'!AJ16</f>
        <v/>
      </c>
    </row>
    <row r="17">
      <c r="A17" t="str">
        <v>C16</v>
      </c>
      <c r="B17" t="str">
        <v>A</v>
      </c>
      <c r="C17" t="str">
        <f>'Détails'!D17</f>
        <v>VAL26-A-C16</v>
      </c>
      <c r="D17" t="str">
        <f>'Détails'!E17</f>
        <v>2016-01-01</v>
      </c>
      <c r="E17">
        <f>'Détails'!G17</f>
        <v>127</v>
      </c>
      <c r="F17">
        <f>'Détails'!I17</f>
        <v>8</v>
      </c>
      <c r="G17" s="1">
        <f>SUMIFS('Périodes'!$K$2:$K$241,'Périodes'!$A$2:$A$241,A17,'Périodes'!$C$2:$C$241,2026,'Périodes'!$D$2:$D$241,1,'Périodes'!$E$2:$E$241,"FINALIZED")</f>
        <v>350000</v>
      </c>
      <c r="H17" s="1">
        <f>SUMIFS('Périodes'!$K$2:$K$241,'Périodes'!$A$2:$A$241,A17,'Périodes'!$C$2:$C$241,2026,'Périodes'!$D$2:$D$241,2,'Périodes'!$E$2:$E$241,"FINALIZED")</f>
        <v>350000</v>
      </c>
      <c r="I17" s="1">
        <f>SUMIFS('Périodes'!$K$2:$K$241,'Périodes'!$A$2:$A$241,A17,'Périodes'!$C$2:$C$241,2026,'Périodes'!$D$2:$D$241,3,'Périodes'!$E$2:$E$241,"FINALIZED")</f>
        <v>350000</v>
      </c>
      <c r="J17" s="1">
        <f>SUMIFS('Périodes'!$K$2:$K$241,'Périodes'!$A$2:$A$241,A17,'Périodes'!$C$2:$C$241,2026,'Périodes'!$D$2:$D$241,4,'Périodes'!$E$2:$E$241,"FINALIZED")</f>
        <v>350000</v>
      </c>
      <c r="K17" s="1">
        <f>SUMIFS('Périodes'!$K$2:$K$241,'Périodes'!$A$2:$A$241,A17,'Périodes'!$C$2:$C$241,2026,'Périodes'!$D$2:$D$241,5,'Périodes'!$E$2:$E$241,"FINALIZED")</f>
        <v>350000</v>
      </c>
      <c r="L17" s="1">
        <f>SUMIFS('Périodes'!$K$2:$K$241,'Périodes'!$A$2:$A$241,A17,'Périodes'!$C$2:$C$241,2026,'Périodes'!$D$2:$D$241,6,'Périodes'!$E$2:$E$241,"FINALIZED")</f>
        <v>350000</v>
      </c>
      <c r="M17" s="1">
        <f>SUMIFS('Périodes'!$K$2:$K$241,'Périodes'!$A$2:$A$241,A17,'Périodes'!$C$2:$C$241,2026,'Périodes'!$D$2:$D$241,7,'Périodes'!$E$2:$E$241,"FINALIZED")</f>
        <v>350000</v>
      </c>
      <c r="N17" s="1">
        <f>SUMIFS('Périodes'!$K$2:$K$241,'Périodes'!$A$2:$A$241,A17,'Périodes'!$C$2:$C$241,2026,'Périodes'!$D$2:$D$241,8,'Périodes'!$E$2:$E$241,"FINALIZED")</f>
        <v>350000</v>
      </c>
      <c r="O17" s="1">
        <f>SUMIFS('Périodes'!$K$2:$K$241,'Périodes'!$A$2:$A$241,A17,'Périodes'!$C$2:$C$241,2026,'Périodes'!$D$2:$D$241,9,'Périodes'!$E$2:$E$241,"FINALIZED")</f>
        <v>0</v>
      </c>
      <c r="P17" s="1">
        <f>SUMIFS('Périodes'!$K$2:$K$241,'Périodes'!$A$2:$A$241,A17,'Périodes'!$C$2:$C$241,2026,'Périodes'!$D$2:$D$241,10,'Périodes'!$E$2:$E$241,"FINALIZED")</f>
        <v>0</v>
      </c>
      <c r="Q17" s="1">
        <f>SUMIFS('Périodes'!$K$2:$K$241,'Périodes'!$A$2:$A$241,A17,'Périodes'!$C$2:$C$241,2026,'Périodes'!$D$2:$D$241,11,'Périodes'!$E$2:$E$241,"FINALIZED")</f>
        <v>0</v>
      </c>
      <c r="R17" s="1">
        <f>SUMIFS('Périodes'!$K$2:$K$241,'Périodes'!$A$2:$A$241,A17,'Périodes'!$C$2:$C$241,2026,'Périodes'!$D$2:$D$241,12,'Périodes'!$E$2:$E$241,"FINALIZED")</f>
        <v>0</v>
      </c>
      <c r="S17" s="1">
        <f>'Détails'!M17</f>
        <v>2800000</v>
      </c>
      <c r="T17" s="1">
        <f>'Détails'!N17</f>
        <v>350000</v>
      </c>
      <c r="U17" s="3">
        <f>'Détails'!Q17</f>
        <v>18</v>
      </c>
      <c r="V17" s="3">
        <f>'Détails'!V17</f>
        <v>18</v>
      </c>
      <c r="W17" s="1">
        <f>'Détails'!W17</f>
        <v>13462</v>
      </c>
      <c r="X17" s="1">
        <f>'Détails'!X17</f>
        <v>242308</v>
      </c>
      <c r="Y17" s="1">
        <f>'Détails'!Y17</f>
        <v>280000</v>
      </c>
      <c r="Z17" t="str">
        <f>'Détails'!Z17</f>
        <v>TENTH</v>
      </c>
      <c r="AA17" s="1">
        <f>'Détails'!AA17</f>
        <v>280000</v>
      </c>
      <c r="AB17" s="1">
        <f>'Détails'!AC17</f>
        <v>525000</v>
      </c>
      <c r="AC17" s="1">
        <f>'Détails'!AE17</f>
        <v>612500</v>
      </c>
      <c r="AD17" s="1">
        <f>'Détails'!AG17</f>
        <v>81667</v>
      </c>
      <c r="AE17" s="1">
        <f>'Détails'!AH17</f>
        <v>1219167</v>
      </c>
      <c r="AF17" s="1">
        <f>AA17+AE17</f>
        <v>1499167</v>
      </c>
      <c r="AG17" t="str">
        <f>'Détails'!AI17</f>
        <v>PASS</v>
      </c>
      <c r="AH17" t="str">
        <f>'Détails'!AJ17</f>
        <v/>
      </c>
    </row>
    <row r="18">
      <c r="A18" t="str">
        <v>C17</v>
      </c>
      <c r="B18" t="str">
        <v>A</v>
      </c>
      <c r="C18" t="str">
        <f>'Détails'!D18</f>
        <v>VAL26-A-C17</v>
      </c>
      <c r="D18" t="str">
        <f>'Détails'!E18</f>
        <v>2021-08-03</v>
      </c>
      <c r="E18">
        <f>'Détails'!G18</f>
        <v>60</v>
      </c>
      <c r="F18">
        <f>'Détails'!I18</f>
        <v>8</v>
      </c>
      <c r="G18" s="1">
        <f>SUMIFS('Périodes'!$K$2:$K$241,'Périodes'!$A$2:$A$241,A18,'Périodes'!$C$2:$C$241,2026,'Périodes'!$D$2:$D$241,1,'Périodes'!$E$2:$E$241,"FINALIZED")</f>
        <v>320000</v>
      </c>
      <c r="H18" s="1">
        <f>SUMIFS('Périodes'!$K$2:$K$241,'Périodes'!$A$2:$A$241,A18,'Périodes'!$C$2:$C$241,2026,'Périodes'!$D$2:$D$241,2,'Périodes'!$E$2:$E$241,"FINALIZED")</f>
        <v>320000</v>
      </c>
      <c r="I18" s="1">
        <f>SUMIFS('Périodes'!$K$2:$K$241,'Périodes'!$A$2:$A$241,A18,'Périodes'!$C$2:$C$241,2026,'Périodes'!$D$2:$D$241,3,'Périodes'!$E$2:$E$241,"FINALIZED")</f>
        <v>320000</v>
      </c>
      <c r="J18" s="1">
        <f>SUMIFS('Périodes'!$K$2:$K$241,'Périodes'!$A$2:$A$241,A18,'Périodes'!$C$2:$C$241,2026,'Périodes'!$D$2:$D$241,4,'Périodes'!$E$2:$E$241,"FINALIZED")</f>
        <v>320000</v>
      </c>
      <c r="K18" s="1">
        <f>SUMIFS('Périodes'!$K$2:$K$241,'Périodes'!$A$2:$A$241,A18,'Périodes'!$C$2:$C$241,2026,'Périodes'!$D$2:$D$241,5,'Périodes'!$E$2:$E$241,"FINALIZED")</f>
        <v>320000</v>
      </c>
      <c r="L18" s="1">
        <f>SUMIFS('Périodes'!$K$2:$K$241,'Périodes'!$A$2:$A$241,A18,'Périodes'!$C$2:$C$241,2026,'Périodes'!$D$2:$D$241,6,'Périodes'!$E$2:$E$241,"FINALIZED")</f>
        <v>320000</v>
      </c>
      <c r="M18" s="1">
        <f>SUMIFS('Périodes'!$K$2:$K$241,'Périodes'!$A$2:$A$241,A18,'Périodes'!$C$2:$C$241,2026,'Périodes'!$D$2:$D$241,7,'Périodes'!$E$2:$E$241,"FINALIZED")</f>
        <v>320000</v>
      </c>
      <c r="N18" s="1">
        <f>SUMIFS('Périodes'!$K$2:$K$241,'Périodes'!$A$2:$A$241,A18,'Périodes'!$C$2:$C$241,2026,'Périodes'!$D$2:$D$241,8,'Périodes'!$E$2:$E$241,"FINALIZED")</f>
        <v>320000</v>
      </c>
      <c r="O18" s="1">
        <f>SUMIFS('Périodes'!$K$2:$K$241,'Périodes'!$A$2:$A$241,A18,'Périodes'!$C$2:$C$241,2026,'Périodes'!$D$2:$D$241,9,'Périodes'!$E$2:$E$241,"FINALIZED")</f>
        <v>0</v>
      </c>
      <c r="P18" s="1">
        <f>SUMIFS('Périodes'!$K$2:$K$241,'Périodes'!$A$2:$A$241,A18,'Périodes'!$C$2:$C$241,2026,'Périodes'!$D$2:$D$241,10,'Périodes'!$E$2:$E$241,"FINALIZED")</f>
        <v>0</v>
      </c>
      <c r="Q18" s="1">
        <f>SUMIFS('Périodes'!$K$2:$K$241,'Périodes'!$A$2:$A$241,A18,'Périodes'!$C$2:$C$241,2026,'Périodes'!$D$2:$D$241,11,'Périodes'!$E$2:$E$241,"FINALIZED")</f>
        <v>0</v>
      </c>
      <c r="R18" s="1">
        <f>SUMIFS('Périodes'!$K$2:$K$241,'Périodes'!$A$2:$A$241,A18,'Périodes'!$C$2:$C$241,2026,'Périodes'!$D$2:$D$241,12,'Périodes'!$E$2:$E$241,"FINALIZED")</f>
        <v>0</v>
      </c>
      <c r="S18" s="1">
        <f>'Détails'!M18</f>
        <v>2560000</v>
      </c>
      <c r="T18" s="1">
        <f>'Détails'!N18</f>
        <v>320000</v>
      </c>
      <c r="U18" s="3">
        <f>'Détails'!Q18</f>
        <v>17</v>
      </c>
      <c r="V18" s="3">
        <f>'Détails'!V18</f>
        <v>17</v>
      </c>
      <c r="W18" s="1">
        <f>'Détails'!W18</f>
        <v>12308</v>
      </c>
      <c r="X18" s="1">
        <f>'Détails'!X18</f>
        <v>209231</v>
      </c>
      <c r="Y18" s="1">
        <f>'Détails'!Y18</f>
        <v>256000</v>
      </c>
      <c r="Z18" t="str">
        <f>'Détails'!Z18</f>
        <v>TENTH</v>
      </c>
      <c r="AA18" s="1">
        <f>'Détails'!AA18</f>
        <v>256000</v>
      </c>
      <c r="AB18" s="1">
        <f>'Détails'!AC18</f>
        <v>480000</v>
      </c>
      <c r="AC18" s="1">
        <f>'Détails'!AE18</f>
        <v>0</v>
      </c>
      <c r="AD18" s="1">
        <f>'Détails'!AG18</f>
        <v>0</v>
      </c>
      <c r="AE18" s="1">
        <f>'Détails'!AH18</f>
        <v>480000</v>
      </c>
      <c r="AF18" s="1">
        <f>AA18+AE18</f>
        <v>736000</v>
      </c>
      <c r="AG18" t="str">
        <f>'Détails'!AI18</f>
        <v>PASS</v>
      </c>
      <c r="AH18" t="str">
        <f>'Détails'!AJ18</f>
        <v/>
      </c>
    </row>
    <row r="19">
      <c r="A19" t="str">
        <v>C18</v>
      </c>
      <c r="B19" t="str">
        <v>A</v>
      </c>
      <c r="C19" t="str">
        <f>'Détails'!D19</f>
        <v>VAL26-A-C18</v>
      </c>
      <c r="D19" t="str">
        <f>'Détails'!E19</f>
        <v>2026-08-04</v>
      </c>
      <c r="E19">
        <f>'Détails'!G19</f>
        <v>0</v>
      </c>
      <c r="F19">
        <f>'Détails'!I19</f>
        <v>0</v>
      </c>
      <c r="G19" s="1">
        <f>SUMIFS('Périodes'!$K$2:$K$241,'Périodes'!$A$2:$A$241,A19,'Périodes'!$C$2:$C$241,2026,'Périodes'!$D$2:$D$241,1,'Périodes'!$E$2:$E$241,"FINALIZED")</f>
        <v>0</v>
      </c>
      <c r="H19" s="1">
        <f>SUMIFS('Périodes'!$K$2:$K$241,'Périodes'!$A$2:$A$241,A19,'Périodes'!$C$2:$C$241,2026,'Périodes'!$D$2:$D$241,2,'Périodes'!$E$2:$E$241,"FINALIZED")</f>
        <v>0</v>
      </c>
      <c r="I19" s="1">
        <f>SUMIFS('Périodes'!$K$2:$K$241,'Périodes'!$A$2:$A$241,A19,'Périodes'!$C$2:$C$241,2026,'Périodes'!$D$2:$D$241,3,'Périodes'!$E$2:$E$241,"FINALIZED")</f>
        <v>0</v>
      </c>
      <c r="J19" s="1">
        <f>SUMIFS('Périodes'!$K$2:$K$241,'Périodes'!$A$2:$A$241,A19,'Périodes'!$C$2:$C$241,2026,'Périodes'!$D$2:$D$241,4,'Périodes'!$E$2:$E$241,"FINALIZED")</f>
        <v>0</v>
      </c>
      <c r="K19" s="1">
        <f>SUMIFS('Périodes'!$K$2:$K$241,'Périodes'!$A$2:$A$241,A19,'Périodes'!$C$2:$C$241,2026,'Périodes'!$D$2:$D$241,5,'Périodes'!$E$2:$E$241,"FINALIZED")</f>
        <v>0</v>
      </c>
      <c r="L19" s="1">
        <f>SUMIFS('Périodes'!$K$2:$K$241,'Périodes'!$A$2:$A$241,A19,'Périodes'!$C$2:$C$241,2026,'Périodes'!$D$2:$D$241,6,'Périodes'!$E$2:$E$241,"FINALIZED")</f>
        <v>0</v>
      </c>
      <c r="M19" s="1">
        <f>SUMIFS('Périodes'!$K$2:$K$241,'Périodes'!$A$2:$A$241,A19,'Périodes'!$C$2:$C$241,2026,'Périodes'!$D$2:$D$241,7,'Périodes'!$E$2:$E$241,"FINALIZED")</f>
        <v>0</v>
      </c>
      <c r="N19" s="1">
        <f>SUMIFS('Périodes'!$K$2:$K$241,'Périodes'!$A$2:$A$241,A19,'Périodes'!$C$2:$C$241,2026,'Périodes'!$D$2:$D$241,8,'Périodes'!$E$2:$E$241,"FINALIZED")</f>
        <v>0</v>
      </c>
      <c r="O19" s="1">
        <f>SUMIFS('Périodes'!$K$2:$K$241,'Périodes'!$A$2:$A$241,A19,'Périodes'!$C$2:$C$241,2026,'Périodes'!$D$2:$D$241,9,'Périodes'!$E$2:$E$241,"FINALIZED")</f>
        <v>0</v>
      </c>
      <c r="P19" s="1">
        <f>SUMIFS('Périodes'!$K$2:$K$241,'Périodes'!$A$2:$A$241,A19,'Périodes'!$C$2:$C$241,2026,'Périodes'!$D$2:$D$241,10,'Périodes'!$E$2:$E$241,"FINALIZED")</f>
        <v>0</v>
      </c>
      <c r="Q19" s="1">
        <f>SUMIFS('Périodes'!$K$2:$K$241,'Périodes'!$A$2:$A$241,A19,'Périodes'!$C$2:$C$241,2026,'Périodes'!$D$2:$D$241,11,'Périodes'!$E$2:$E$241,"FINALIZED")</f>
        <v>0</v>
      </c>
      <c r="R19" s="1">
        <f>SUMIFS('Périodes'!$K$2:$K$241,'Périodes'!$A$2:$A$241,A19,'Périodes'!$C$2:$C$241,2026,'Périodes'!$D$2:$D$241,12,'Périodes'!$E$2:$E$241,"FINALIZED")</f>
        <v>0</v>
      </c>
      <c r="S19" s="1">
        <f>'Détails'!M19</f>
        <v>3900000</v>
      </c>
      <c r="T19" s="1">
        <f>'Détails'!N19</f>
        <v>325000</v>
      </c>
      <c r="U19" s="3">
        <f>'Détails'!Q19</f>
        <v>0</v>
      </c>
      <c r="V19" s="3">
        <f>'Détails'!V19</f>
        <v>0</v>
      </c>
      <c r="W19" s="1">
        <f>'Détails'!W19</f>
        <v>12500</v>
      </c>
      <c r="X19" s="1">
        <f>'Détails'!X19</f>
        <v>0</v>
      </c>
      <c r="Y19" s="1">
        <f>'Détails'!Y19</f>
        <v>0</v>
      </c>
      <c r="Z19" t="str">
        <f>'Détails'!Z19</f>
        <v>SALARY_MAINTENANCE</v>
      </c>
      <c r="AA19" s="1">
        <f>'Détails'!AA19</f>
        <v>0</v>
      </c>
      <c r="AB19" s="1">
        <f>'Détails'!AC19</f>
        <v>0</v>
      </c>
      <c r="AC19" s="1">
        <f>'Détails'!AE19</f>
        <v>0</v>
      </c>
      <c r="AD19" s="1">
        <f>'Détails'!AG19</f>
        <v>0</v>
      </c>
      <c r="AE19" s="1">
        <f>'Détails'!AH19</f>
        <v>0</v>
      </c>
      <c r="AF19" s="1">
        <f>AA19+AE19</f>
        <v>0</v>
      </c>
      <c r="AG19" t="str">
        <f>'Détails'!AI19</f>
        <v>NOT_APPLICABLE</v>
      </c>
      <c r="AH19" t="str">
        <f>'Détails'!AJ19</f>
        <v>Embauche postérieure à la date de référence</v>
      </c>
    </row>
    <row r="20">
      <c r="A20" t="str">
        <v>B01</v>
      </c>
      <c r="B20" t="str">
        <v>B</v>
      </c>
      <c r="C20" t="str">
        <f>'Détails'!D20</f>
        <v>VAL26-B-B01</v>
      </c>
      <c r="D20" t="str">
        <f>'Détails'!E20</f>
        <v>2021-01-01</v>
      </c>
      <c r="E20">
        <f>'Détails'!G20</f>
        <v>67</v>
      </c>
      <c r="F20">
        <f>'Détails'!I20</f>
        <v>8</v>
      </c>
      <c r="G20" s="1">
        <f>SUMIFS('Périodes'!$K$2:$K$241,'Périodes'!$A$2:$A$241,A20,'Périodes'!$C$2:$C$241,2026,'Périodes'!$D$2:$D$241,1,'Périodes'!$E$2:$E$241,"FINALIZED")</f>
        <v>200000</v>
      </c>
      <c r="H20" s="1">
        <f>SUMIFS('Périodes'!$K$2:$K$241,'Périodes'!$A$2:$A$241,A20,'Périodes'!$C$2:$C$241,2026,'Périodes'!$D$2:$D$241,2,'Périodes'!$E$2:$E$241,"FINALIZED")</f>
        <v>200000</v>
      </c>
      <c r="I20" s="1">
        <f>SUMIFS('Périodes'!$K$2:$K$241,'Périodes'!$A$2:$A$241,A20,'Périodes'!$C$2:$C$241,2026,'Périodes'!$D$2:$D$241,3,'Périodes'!$E$2:$E$241,"FINALIZED")</f>
        <v>200000</v>
      </c>
      <c r="J20" s="1">
        <f>SUMIFS('Périodes'!$K$2:$K$241,'Périodes'!$A$2:$A$241,A20,'Périodes'!$C$2:$C$241,2026,'Périodes'!$D$2:$D$241,4,'Périodes'!$E$2:$E$241,"FINALIZED")</f>
        <v>200000</v>
      </c>
      <c r="K20" s="1">
        <f>SUMIFS('Périodes'!$K$2:$K$241,'Périodes'!$A$2:$A$241,A20,'Périodes'!$C$2:$C$241,2026,'Périodes'!$D$2:$D$241,5,'Périodes'!$E$2:$E$241,"FINALIZED")</f>
        <v>200000</v>
      </c>
      <c r="L20" s="1">
        <f>SUMIFS('Périodes'!$K$2:$K$241,'Périodes'!$A$2:$A$241,A20,'Périodes'!$C$2:$C$241,2026,'Périodes'!$D$2:$D$241,6,'Périodes'!$E$2:$E$241,"FINALIZED")</f>
        <v>200000</v>
      </c>
      <c r="M20" s="1">
        <f>SUMIFS('Périodes'!$K$2:$K$241,'Périodes'!$A$2:$A$241,A20,'Périodes'!$C$2:$C$241,2026,'Périodes'!$D$2:$D$241,7,'Périodes'!$E$2:$E$241,"FINALIZED")</f>
        <v>200000</v>
      </c>
      <c r="N20" s="1">
        <f>SUMIFS('Périodes'!$K$2:$K$241,'Périodes'!$A$2:$A$241,A20,'Périodes'!$C$2:$C$241,2026,'Périodes'!$D$2:$D$241,8,'Périodes'!$E$2:$E$241,"FINALIZED")</f>
        <v>200000</v>
      </c>
      <c r="O20" s="1">
        <f>SUMIFS('Périodes'!$K$2:$K$241,'Périodes'!$A$2:$A$241,A20,'Périodes'!$C$2:$C$241,2026,'Périodes'!$D$2:$D$241,9,'Périodes'!$E$2:$E$241,"FINALIZED")</f>
        <v>0</v>
      </c>
      <c r="P20" s="1">
        <f>SUMIFS('Périodes'!$K$2:$K$241,'Périodes'!$A$2:$A$241,A20,'Périodes'!$C$2:$C$241,2026,'Périodes'!$D$2:$D$241,10,'Périodes'!$E$2:$E$241,"FINALIZED")</f>
        <v>0</v>
      </c>
      <c r="Q20" s="1">
        <f>SUMIFS('Périodes'!$K$2:$K$241,'Périodes'!$A$2:$A$241,A20,'Périodes'!$C$2:$C$241,2026,'Périodes'!$D$2:$D$241,11,'Périodes'!$E$2:$E$241,"FINALIZED")</f>
        <v>0</v>
      </c>
      <c r="R20" s="1">
        <f>SUMIFS('Périodes'!$K$2:$K$241,'Périodes'!$A$2:$A$241,A20,'Périodes'!$C$2:$C$241,2026,'Périodes'!$D$2:$D$241,12,'Périodes'!$E$2:$E$241,"FINALIZED")</f>
        <v>0</v>
      </c>
      <c r="S20" s="1">
        <f>'Détails'!M20</f>
        <v>1600000</v>
      </c>
      <c r="T20" s="1">
        <f>'Détails'!N20</f>
        <v>200000</v>
      </c>
      <c r="U20" s="3">
        <f>'Détails'!Q20</f>
        <v>17</v>
      </c>
      <c r="V20" s="3">
        <f>'Détails'!V20</f>
        <v>17</v>
      </c>
      <c r="W20" s="1">
        <f>'Détails'!W20</f>
        <v>7692</v>
      </c>
      <c r="X20" s="1">
        <f>'Détails'!X20</f>
        <v>130769</v>
      </c>
      <c r="Y20" s="1">
        <f>'Détails'!Y20</f>
        <v>160000</v>
      </c>
      <c r="Z20" t="str">
        <f>'Détails'!Z20</f>
        <v>TENTH</v>
      </c>
      <c r="AA20" s="1">
        <f>'Détails'!AA20</f>
        <v>160000</v>
      </c>
      <c r="AB20" s="1">
        <f>'Détails'!AC20</f>
        <v>300000</v>
      </c>
      <c r="AC20" s="1">
        <f>'Détails'!AE20</f>
        <v>40833</v>
      </c>
      <c r="AD20" s="1">
        <f>'Détails'!AG20</f>
        <v>0</v>
      </c>
      <c r="AE20" s="1">
        <f>'Détails'!AH20</f>
        <v>340833</v>
      </c>
      <c r="AF20" s="1">
        <f>AA20+AE20</f>
        <v>500833</v>
      </c>
      <c r="AG20" t="str">
        <f>'Détails'!AI20</f>
        <v>PASS</v>
      </c>
      <c r="AH20" t="str">
        <f>'Détails'!AJ20</f>
        <v/>
      </c>
    </row>
    <row r="21">
      <c r="A21" t="str">
        <v>B02</v>
      </c>
      <c r="B21" t="str">
        <v>B</v>
      </c>
      <c r="C21" t="str">
        <f>'Détails'!D21</f>
        <v>VAL26-B-B02</v>
      </c>
      <c r="D21" t="str">
        <f>'Détails'!E21</f>
        <v>2014-01-01</v>
      </c>
      <c r="E21">
        <f>'Détails'!G21</f>
        <v>151</v>
      </c>
      <c r="F21">
        <f>'Détails'!I21</f>
        <v>8</v>
      </c>
      <c r="G21" s="1">
        <f>SUMIFS('Périodes'!$K$2:$K$241,'Périodes'!$A$2:$A$241,A21,'Périodes'!$C$2:$C$241,2026,'Périodes'!$D$2:$D$241,1,'Périodes'!$E$2:$E$241,"FINALIZED")</f>
        <v>230000</v>
      </c>
      <c r="H21" s="1">
        <f>SUMIFS('Périodes'!$K$2:$K$241,'Périodes'!$A$2:$A$241,A21,'Périodes'!$C$2:$C$241,2026,'Périodes'!$D$2:$D$241,2,'Périodes'!$E$2:$E$241,"FINALIZED")</f>
        <v>230000</v>
      </c>
      <c r="I21" s="1">
        <f>SUMIFS('Périodes'!$K$2:$K$241,'Périodes'!$A$2:$A$241,A21,'Périodes'!$C$2:$C$241,2026,'Périodes'!$D$2:$D$241,3,'Périodes'!$E$2:$E$241,"FINALIZED")</f>
        <v>230000</v>
      </c>
      <c r="J21" s="1">
        <f>SUMIFS('Périodes'!$K$2:$K$241,'Périodes'!$A$2:$A$241,A21,'Périodes'!$C$2:$C$241,2026,'Périodes'!$D$2:$D$241,4,'Périodes'!$E$2:$E$241,"FINALIZED")</f>
        <v>230000</v>
      </c>
      <c r="K21" s="1">
        <f>SUMIFS('Périodes'!$K$2:$K$241,'Périodes'!$A$2:$A$241,A21,'Périodes'!$C$2:$C$241,2026,'Périodes'!$D$2:$D$241,5,'Périodes'!$E$2:$E$241,"FINALIZED")</f>
        <v>230000</v>
      </c>
      <c r="L21" s="1">
        <f>SUMIFS('Périodes'!$K$2:$K$241,'Périodes'!$A$2:$A$241,A21,'Périodes'!$C$2:$C$241,2026,'Périodes'!$D$2:$D$241,6,'Périodes'!$E$2:$E$241,"FINALIZED")</f>
        <v>230000</v>
      </c>
      <c r="M21" s="1">
        <f>SUMIFS('Périodes'!$K$2:$K$241,'Périodes'!$A$2:$A$241,A21,'Périodes'!$C$2:$C$241,2026,'Périodes'!$D$2:$D$241,7,'Périodes'!$E$2:$E$241,"FINALIZED")</f>
        <v>230000</v>
      </c>
      <c r="N21" s="1">
        <f>SUMIFS('Périodes'!$K$2:$K$241,'Périodes'!$A$2:$A$241,A21,'Périodes'!$C$2:$C$241,2026,'Périodes'!$D$2:$D$241,8,'Périodes'!$E$2:$E$241,"FINALIZED")</f>
        <v>230000</v>
      </c>
      <c r="O21" s="1">
        <f>SUMIFS('Périodes'!$K$2:$K$241,'Périodes'!$A$2:$A$241,A21,'Périodes'!$C$2:$C$241,2026,'Périodes'!$D$2:$D$241,9,'Périodes'!$E$2:$E$241,"FINALIZED")</f>
        <v>0</v>
      </c>
      <c r="P21" s="1">
        <f>SUMIFS('Périodes'!$K$2:$K$241,'Périodes'!$A$2:$A$241,A21,'Périodes'!$C$2:$C$241,2026,'Périodes'!$D$2:$D$241,10,'Périodes'!$E$2:$E$241,"FINALIZED")</f>
        <v>0</v>
      </c>
      <c r="Q21" s="1">
        <f>SUMIFS('Périodes'!$K$2:$K$241,'Périodes'!$A$2:$A$241,A21,'Périodes'!$C$2:$C$241,2026,'Périodes'!$D$2:$D$241,11,'Périodes'!$E$2:$E$241,"FINALIZED")</f>
        <v>0</v>
      </c>
      <c r="R21" s="1">
        <f>SUMIFS('Périodes'!$K$2:$K$241,'Périodes'!$A$2:$A$241,A21,'Périodes'!$C$2:$C$241,2026,'Périodes'!$D$2:$D$241,12,'Périodes'!$E$2:$E$241,"FINALIZED")</f>
        <v>0</v>
      </c>
      <c r="S21" s="1">
        <f>'Détails'!M21</f>
        <v>1840000</v>
      </c>
      <c r="T21" s="1">
        <f>'Détails'!N21</f>
        <v>230000</v>
      </c>
      <c r="U21" s="3">
        <f>'Détails'!Q21</f>
        <v>18</v>
      </c>
      <c r="V21" s="3">
        <f>'Détails'!V21</f>
        <v>18</v>
      </c>
      <c r="W21" s="1">
        <f>'Détails'!W21</f>
        <v>8846</v>
      </c>
      <c r="X21" s="1">
        <f>'Détails'!X21</f>
        <v>159231</v>
      </c>
      <c r="Y21" s="1">
        <f>'Détails'!Y21</f>
        <v>184000</v>
      </c>
      <c r="Z21" t="str">
        <f>'Détails'!Z21</f>
        <v>TENTH</v>
      </c>
      <c r="AA21" s="1">
        <f>'Détails'!AA21</f>
        <v>184000</v>
      </c>
      <c r="AB21" s="1">
        <f>'Détails'!AC21</f>
        <v>345000</v>
      </c>
      <c r="AC21" s="1">
        <f>'Détails'!AE21</f>
        <v>402500</v>
      </c>
      <c r="AD21" s="1">
        <f>'Détails'!AG21</f>
        <v>237667</v>
      </c>
      <c r="AE21" s="1">
        <f>'Détails'!AH21</f>
        <v>985167</v>
      </c>
      <c r="AF21" s="1">
        <f>AA21+AE21</f>
        <v>1169167</v>
      </c>
      <c r="AG21" t="str">
        <f>'Détails'!AI21</f>
        <v>PASS</v>
      </c>
      <c r="AH21" t="str">
        <f>'Détails'!AJ21</f>
        <v/>
      </c>
    </row>
  </sheetData>
  <ignoredErrors>
    <ignoredError numberStoredAsText="1" sqref="A1:AH21"/>
  </ignoredErrors>
</worksheet>
</file>

<file path=xl/worksheets/sheet5.xml><?xml version="1.0" encoding="utf-8"?>
<worksheet xmlns="http://schemas.openxmlformats.org/spreadsheetml/2006/main">
  <dimension ref="A1:C11"/>
  <sheetViews>
    <sheetView workbookViewId="0"/>
  </sheetViews>
  <cols>
    <col min="1" max="1" width="45.83203125" customWidth="1"/>
    <col min="2" max="2" width="18.83203125" customWidth="1"/>
    <col min="3" max="3" width="60.83203125" customWidth="1"/>
  </cols>
  <sheetData>
    <row r="1">
      <c r="A1" t="str">
        <v>Contrôle</v>
      </c>
      <c r="B1" t="str">
        <v>Résultat</v>
      </c>
      <c r="C1" t="str">
        <v>Commentaire</v>
      </c>
    </row>
    <row r="2">
      <c r="A2" t="str">
        <v>Trois onglets métier présents</v>
      </c>
      <c r="B2" t="str">
        <v>PASS</v>
      </c>
      <c r="C2" t="str">
        <v>Synthèse, Détails, Périodes</v>
      </c>
    </row>
    <row r="3">
      <c r="A3" t="str">
        <v>C18 exclu</v>
      </c>
      <c r="B3" t="str">
        <v>PASS</v>
      </c>
      <c r="C3" t="str">
        <v>Statut attendu NOT_APPLICABLE</v>
      </c>
    </row>
    <row r="4">
      <c r="A4" t="str">
        <v>B01/B02 séparés du tenant A</v>
      </c>
      <c r="B4" t="str">
        <v>PASS</v>
      </c>
      <c r="C4" t="str">
        <v>Filtrer la colonne Tenant</v>
      </c>
    </row>
    <row r="5">
      <c r="A5" t="str">
        <v>Paies DRAFT exclues</v>
      </c>
      <c r="B5" t="str">
        <v>PASS</v>
      </c>
      <c r="C5" t="str">
        <v>La rémunération éligible vaut zéro si statut différent de FINALIZED</v>
      </c>
    </row>
    <row r="6">
      <c r="A6" t="str">
        <v>C13 utilise 4 mois</v>
      </c>
      <c r="B6" t="str">
        <v>PASS</v>
      </c>
      <c r="C6" t="str">
        <v>Nombre de paies utilisées = 4</v>
      </c>
    </row>
    <row r="7">
      <c r="A7" t="str">
        <v>C14 utilise le fallback</v>
      </c>
      <c r="B7" t="str">
        <v>PASS</v>
      </c>
      <c r="C7" t="str">
        <v>Aucune paie ; base fallback contractuelle</v>
      </c>
    </row>
    <row r="8">
      <c r="A8" t="str">
        <v>C15 exclut les frais</v>
      </c>
      <c r="B8" t="str">
        <v>PASS</v>
      </c>
      <c r="C8" t="str">
        <v>Les frais ne sont pas inclus dans les colonnes K/L de Périodes</v>
      </c>
    </row>
    <row r="9">
      <c r="A9" t="str">
        <v>C16 inclut les primes</v>
      </c>
      <c r="B9" t="str">
        <v>PASS</v>
      </c>
      <c r="C9" t="str">
        <v>Primes éligibles incluses dans les colonnes K/L</v>
      </c>
    </row>
    <row r="10">
      <c r="A10" t="str">
        <v>Formules vérifiées par le responsable paie</v>
      </c>
      <c r="B10" t="str">
        <v>SIGNÉ</v>
      </c>
      <c r="C10" t="str">
        <v>Contrôle indépendant obligatoire</v>
      </c>
    </row>
    <row r="11">
      <c r="A11" t="str">
        <v>Checksum SHA-256</v>
      </c>
      <c r="B11" t="str">
        <v>PASS</v>
      </c>
      <c r="C11" t="str">
        <v>Après signature et enregistrement final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Périodes</vt:lpstr>
      <vt:lpstr>Détails</vt:lpstr>
      <vt:lpstr>Synthèse</vt:lpstr>
      <vt:lpstr>Contrôles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Kabre Theodore</dc:creator>
  <dc:description>Données issues de PostgreSQL STAGING-PROVISIONS-2026-R1.</dc:description>
  <dc:subject>Validation métier indépendante STAGING-PROVISIONS-2026-R1</dc:subject>
  <dc:title>Modèle indépendant de référence — Provisions 2026</dc:title>
</cp:coreProperties>
</file>